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1桌面\"/>
    </mc:Choice>
  </mc:AlternateContent>
  <workbookProtection workbookAlgorithmName="SHA-512" workbookHashValue="z+W/lf/4bzS9y1A/ktUgwd4lbldOTu09BIaHK/gbNeTWTUZJjScn/URY7BO7NY7GpAiMoJKNYw+EbyOiojhZDw==" workbookSaltValue="mYty5RqI2vhCDxvanrnDbA==" workbookSpinCount="100000" lockStructure="1"/>
  <bookViews>
    <workbookView windowWidth="22188" windowHeight="9060"/>
  </bookViews>
  <sheets>
    <sheet name="info" sheetId="1" r:id="rId1"/>
    <sheet name="venue" sheetId="2" state="hidden" r:id="rId2"/>
    <sheet name="type" sheetId="3" r:id="rId3"/>
    <sheet name="color" sheetId="4" state="hidden" r:id="rId4"/>
    <sheet name="state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<sst xmlns="http://schemas.openxmlformats.org/spreadsheetml/2006/main" count="581" uniqueCount="563">
  <si>
    <t>场所名称</t>
  </si>
  <si>
    <t>场所地址</t>
  </si>
  <si>
    <t>coVenuesId</t>
  </si>
  <si>
    <t>要素类型</t>
  </si>
  <si>
    <t>coType</t>
  </si>
  <si>
    <t>要素颜色</t>
  </si>
  <si>
    <t>coColor</t>
  </si>
  <si>
    <t>发生时间
2026/01/01</t>
  </si>
  <si>
    <t>问题描述</t>
  </si>
  <si>
    <t>处理进度</t>
  </si>
  <si>
    <t>coState</t>
  </si>
  <si>
    <t>完成时间
2026/01/01</t>
  </si>
  <si>
    <t>进度描述</t>
  </si>
  <si>
    <t>备注说明</t>
  </si>
  <si>
    <t>护国寺</t>
  </si>
  <si>
    <t>浙江省温州市瓯海区景山街道护国寺</t>
  </si>
  <si>
    <t>地藏王殿</t>
  </si>
  <si>
    <t>浙江省温州市瓯海区西山东路118号</t>
  </si>
  <si>
    <t>宝严寺</t>
  </si>
  <si>
    <t>浙江省温州市瓯海区茶山街道徐岙村</t>
  </si>
  <si>
    <t>茶山基督教堂</t>
  </si>
  <si>
    <t>浙江省温州市瓯海区茶山街道洞桥南路202号</t>
  </si>
  <si>
    <t>大庆寺</t>
  </si>
  <si>
    <t>浙江省温州市瓯海区茶山街道五美路</t>
  </si>
  <si>
    <t>洪崖道观</t>
  </si>
  <si>
    <t>浙江省温州市瓯海区茶山街道洪殿村岩头</t>
  </si>
  <si>
    <t>觉海寺</t>
  </si>
  <si>
    <t>浙江省温州市瓯海区茶山街道罗山村</t>
  </si>
  <si>
    <t>京山基督教堂</t>
  </si>
  <si>
    <t>浙江省温州市瓯海区茶山街道京山村</t>
  </si>
  <si>
    <t>睦州垟基督教聚会点</t>
  </si>
  <si>
    <t>浙江省温州市瓯海区茶山街道睦州垟新州路9号</t>
  </si>
  <si>
    <t>山根基督教堂</t>
  </si>
  <si>
    <t>浙江省温州市瓯海区茶山街道山根村山根南路93号</t>
  </si>
  <si>
    <t>实际寺</t>
  </si>
  <si>
    <t>浙江省温州市瓯海区茶山街道罗丰村</t>
  </si>
  <si>
    <t>汀岙基督教堂</t>
  </si>
  <si>
    <t>浙江省温州市瓯海区茶山街道汀岙路86号</t>
  </si>
  <si>
    <t>卧云寺(罗丰)</t>
  </si>
  <si>
    <t>下坦平基督教堂</t>
  </si>
  <si>
    <t>浙江省温州市瓯海区茶山街道新民村下坦平</t>
  </si>
  <si>
    <t>香山寺</t>
  </si>
  <si>
    <t>浙江省温州市瓯海区茶山街道罗胜村</t>
  </si>
  <si>
    <t>心安禅寺</t>
  </si>
  <si>
    <t>浙江省温州市瓯海区茶山街道新民村</t>
  </si>
  <si>
    <t>延寿寺</t>
  </si>
  <si>
    <t>浙江省温州市瓯海区茶山街道后村金沙路</t>
  </si>
  <si>
    <t>杨溪寺</t>
  </si>
  <si>
    <t>笔架山道观</t>
  </si>
  <si>
    <t>浙江省温州市瓯海区郭溪街道笔架山下</t>
  </si>
  <si>
    <t>曹埭基督教堂</t>
  </si>
  <si>
    <t>浙江省温州市瓯海区郭溪街道凰桥村燎原中路226-228号</t>
  </si>
  <si>
    <t>郭西基督教堂</t>
  </si>
  <si>
    <t>浙江省温州市瓯海区郭溪街道郭西村溪源路41弄12号</t>
  </si>
  <si>
    <t>郭溪基督教聚会点</t>
  </si>
  <si>
    <t>浙江省温州市瓯海区郭溪街道郭溪村</t>
  </si>
  <si>
    <t>郭溪基督教堂</t>
  </si>
  <si>
    <t>浙江省温州市瓯海区郭溪街道河头村</t>
  </si>
  <si>
    <t>黄桥基督教聚会点</t>
  </si>
  <si>
    <t>浙江省温州市瓯海区郭溪街道黄桥村燎原中路170号</t>
  </si>
  <si>
    <t>江垟新村基督教堂</t>
  </si>
  <si>
    <t>浙江省温州市瓯海区郭溪街道五和路80弄7幢73号</t>
  </si>
  <si>
    <t>能仁寺</t>
  </si>
  <si>
    <t>浙江省温州市瓯海区郭溪街道渚浦西村</t>
  </si>
  <si>
    <t>浦东基督教堂</t>
  </si>
  <si>
    <t>浙江省温州市瓯海区郭溪街道浦东村</t>
  </si>
  <si>
    <t>普宁寺</t>
  </si>
  <si>
    <t>浙江省温州市瓯海区郭溪街道任桥村</t>
  </si>
  <si>
    <t>庆全寺</t>
  </si>
  <si>
    <t>浙江省温州市瓯海区郭溪街道梅园村</t>
  </si>
  <si>
    <t>任相公观</t>
  </si>
  <si>
    <t>浙江省温州市瓯海区郭溪街道塘下梅园村</t>
  </si>
  <si>
    <t>宋岙底基督教堂</t>
  </si>
  <si>
    <t>浙江省温州市瓯海区郭溪街道宋岙底村</t>
  </si>
  <si>
    <t>塘下基督教堂</t>
  </si>
  <si>
    <t>浙江省温州市瓯海区郭溪街道温瞿东路1940号</t>
  </si>
  <si>
    <t>塘下天主教堂</t>
  </si>
  <si>
    <t>浙江省温州市瓯海区郭溪街道塘下上村</t>
  </si>
  <si>
    <t>陶湾基督教堂</t>
  </si>
  <si>
    <t>苍峰宫</t>
  </si>
  <si>
    <t>浙江省温州市瓯海区景山街道西山西路外莲花山</t>
  </si>
  <si>
    <t>法果寺</t>
  </si>
  <si>
    <t>浙江省温州市瓯海区景山街道西山东路102-1号</t>
  </si>
  <si>
    <t>华光观</t>
  </si>
  <si>
    <t>浙江省温州市瓯海区景山街道西山东路102弄1号</t>
  </si>
  <si>
    <t>金莲道观</t>
  </si>
  <si>
    <t>浙江省温州市瓯海区景山街道</t>
  </si>
  <si>
    <t>净法寺</t>
  </si>
  <si>
    <t>浙江省温州市瓯海区景山街道西山东路22弄2号</t>
  </si>
  <si>
    <t>净社寺</t>
  </si>
  <si>
    <t>浙江省温州市瓯海区景山街道雪山路153弄74号</t>
  </si>
  <si>
    <t>净水寺</t>
  </si>
  <si>
    <t>浙江省温州市瓯海区景山街道净水村</t>
  </si>
  <si>
    <t>青莲禅寺</t>
  </si>
  <si>
    <t>浙江省温州市瓯海区景山街道雪山饭店后面</t>
  </si>
  <si>
    <t>太清宫</t>
  </si>
  <si>
    <t>浙江省温州市瓯海区景山街道西山东路116号</t>
  </si>
  <si>
    <t>乌岩道院</t>
  </si>
  <si>
    <t>浙江省温州市瓯海区景山街道将军村乌岩头8号</t>
  </si>
  <si>
    <t>显惠宫</t>
  </si>
  <si>
    <t>浙江省温州市瓯海区景山街道净水村西山东路200弄内</t>
  </si>
  <si>
    <t>玉鹿寺</t>
  </si>
  <si>
    <t>浙江省温州市瓯海区景山街道西山西路二弄永康巷34号</t>
  </si>
  <si>
    <t>白门基督教堂</t>
  </si>
  <si>
    <t>浙江省温州市瓯海区丽岙街道曹建村上横路坟亭山脚</t>
  </si>
  <si>
    <t>白门心安寺</t>
  </si>
  <si>
    <t>浙江省温州市瓯海区丽岙街道曹建村上横路和尚山脚</t>
  </si>
  <si>
    <t>茶堂基督教堂</t>
  </si>
  <si>
    <t>浙江省温州市瓯海区丽岙街道茶堂村头潭巷10号</t>
  </si>
  <si>
    <t>崇福观</t>
  </si>
  <si>
    <t>浙江省温州市瓯海区丽岙街道丽塘村东村</t>
  </si>
  <si>
    <t>化成寺</t>
  </si>
  <si>
    <t>浙江省温州市瓯海区丽岙街道上金村</t>
  </si>
  <si>
    <t>丽塘基督教堂</t>
  </si>
  <si>
    <t>浙江省温州市瓯海区丽岙街道丽岙西路18号</t>
  </si>
  <si>
    <t>普照寺</t>
  </si>
  <si>
    <t>浙江省温州市瓯海区丽岙街道叶宅村</t>
  </si>
  <si>
    <t>善隐寺</t>
  </si>
  <si>
    <t>浙江省温州市瓯海区丽岙街道泊岙村</t>
  </si>
  <si>
    <t>尚善寺</t>
  </si>
  <si>
    <t>浙江省温州市瓯海区丽岙街道下呈村(尚善寺)</t>
  </si>
  <si>
    <t>圣迹寺</t>
  </si>
  <si>
    <t>浙江省温州市瓯海区丽岙街道姜宅村</t>
  </si>
  <si>
    <t>水陆寺</t>
  </si>
  <si>
    <t>浙江省温州市瓯海区丽岙街道杨宅村</t>
  </si>
  <si>
    <t>下呈天主教堂</t>
  </si>
  <si>
    <t>浙江省温州市瓯海区丽岙街道下呈村(下呈天主教堂)</t>
  </si>
  <si>
    <t>下川基督教堂</t>
  </si>
  <si>
    <t>浙江省温州市瓯海区丽岙街道下川村湖滨路6弄32号</t>
  </si>
  <si>
    <t>杨圣观</t>
  </si>
  <si>
    <t>浙江省温州市瓯海区丽岙街道杨宅村芙蓉尖高峰</t>
  </si>
  <si>
    <t>永宁寺</t>
  </si>
  <si>
    <t>浙江省温州市瓯海区丽岙街道下章村</t>
  </si>
  <si>
    <t>圆通堂</t>
  </si>
  <si>
    <t>浙江省温州市瓯海区丽岙街道五社村</t>
  </si>
  <si>
    <t>崇福寺</t>
  </si>
  <si>
    <t>浙江省温州市瓯海区娄桥街道玕屿村</t>
  </si>
  <si>
    <t>玕屿基督教堂</t>
  </si>
  <si>
    <t>浙江省温州市瓯海区娄桥街道玕屿南村</t>
  </si>
  <si>
    <t>古岸头基督教聚会点</t>
  </si>
  <si>
    <t>浙江省温州市瓯海区娄桥街道古岸头村</t>
  </si>
  <si>
    <t>河庄基督教堂</t>
  </si>
  <si>
    <t>浙江省温州市瓯海区娄桥街道河庄村大埠头</t>
  </si>
  <si>
    <t>寂光寺</t>
  </si>
  <si>
    <t>浙江省温州市瓯海区娄桥街道安下村</t>
  </si>
  <si>
    <t>娄桥基督教堂</t>
  </si>
  <si>
    <t>浙江省温州市瓯海区娄桥街道娄社路6号</t>
  </si>
  <si>
    <t>弥陀精舍</t>
  </si>
  <si>
    <t>浙江省温州市瓯海区娄桥街道前园村</t>
  </si>
  <si>
    <t>南山基督教堂</t>
  </si>
  <si>
    <t>浙江省温州市瓯海区娄桥街道东风东新街20弄23号</t>
  </si>
  <si>
    <t>无量道观</t>
  </si>
  <si>
    <t>浙江省温州市瓯海区娄桥街道东耕村吹台山</t>
  </si>
  <si>
    <t>云会寺</t>
  </si>
  <si>
    <t>浙江省温州市瓯海区娄桥街道前村桃源路</t>
  </si>
  <si>
    <t>白象基督教堂</t>
  </si>
  <si>
    <t>浙江省温州市瓯海区南白象街道凤凰路32号</t>
  </si>
  <si>
    <t>白云道观</t>
  </si>
  <si>
    <t>浙江省温州市瓯海区南白象街道白象村寺前路1号</t>
  </si>
  <si>
    <t>宝筏寺</t>
  </si>
  <si>
    <t>浙江省温州市瓯海区南白象街道上蔡村</t>
  </si>
  <si>
    <t>东庄基督教堂</t>
  </si>
  <si>
    <t>浙江省温州市瓯海区南白象街道东庄村60号</t>
  </si>
  <si>
    <t>洞文观</t>
  </si>
  <si>
    <t>浙江省温州市瓯海区南白象街道白象村</t>
  </si>
  <si>
    <t>鹅湖基督教堂</t>
  </si>
  <si>
    <t>浙江省温州市瓯海区南白象街道鹅湖村鹅湖西路30号</t>
  </si>
  <si>
    <t>木角桥基督教堂</t>
  </si>
  <si>
    <t>浙江省温州市瓯海区南白象街道霞坊村木角桥1号</t>
  </si>
  <si>
    <t>南湖基督教堂</t>
  </si>
  <si>
    <t>浙江省温州市瓯海区南白象街道南湖北路61号</t>
  </si>
  <si>
    <t>前林大圣观</t>
  </si>
  <si>
    <t>浙江省温州市瓯海区南白象街道前林</t>
  </si>
  <si>
    <t>桥头河基督教堂</t>
  </si>
  <si>
    <t>浙江省温州市瓯海区南白象街道上蔡村桥头河</t>
  </si>
  <si>
    <t>清凉道观</t>
  </si>
  <si>
    <t>浙江省温州市瓯海区南白象街道南湖村陈庄</t>
  </si>
  <si>
    <t>上蔡基督教堂</t>
  </si>
  <si>
    <t>霞坊嶂屿山观</t>
  </si>
  <si>
    <t>浙江省温州市瓯海区南白象街道霞坊嶂屿山</t>
  </si>
  <si>
    <t>永福禅寺</t>
  </si>
  <si>
    <t>碧云寺</t>
  </si>
  <si>
    <t>浙江省温州市瓯海区潘桥街道横塘村</t>
  </si>
  <si>
    <t>陈岙基督教堂(潘桥)</t>
  </si>
  <si>
    <t>浙江省温州市瓯海区潘桥街道陈岙溪下路38号</t>
  </si>
  <si>
    <t>陈龙观</t>
  </si>
  <si>
    <t>浙江省温州市瓯海区潘桥街道陈庄村</t>
  </si>
  <si>
    <t>陈庄基督教堂</t>
  </si>
  <si>
    <t>浙江省温州市瓯海区潘桥街道陈庄村前岸路45号</t>
  </si>
  <si>
    <t>福源寺</t>
  </si>
  <si>
    <t>浙江省温州市瓯海区潘桥街道丁岙村</t>
  </si>
  <si>
    <t>横塘基督教堂</t>
  </si>
  <si>
    <t>浙江省温州市瓯海区潘桥街道横塘村永泰路14号</t>
  </si>
  <si>
    <t>集福寺</t>
  </si>
  <si>
    <t>浙江省温州市瓯海区潘桥街道屏山村上岙底屏山西街49号</t>
  </si>
  <si>
    <t>金堡基督教堂</t>
  </si>
  <si>
    <t>浙江省温州市瓯海区潘桥街道金堡村</t>
  </si>
  <si>
    <t>金堡天主教堂</t>
  </si>
  <si>
    <t>浙江省温州市瓯海区潘桥街道永生路1号</t>
  </si>
  <si>
    <t>老竹基督教堂</t>
  </si>
  <si>
    <t>浙江省温州市瓯海区潘桥街道东边村新桐路1386号</t>
  </si>
  <si>
    <t>林竹庵</t>
  </si>
  <si>
    <t>马桥基督教堂</t>
  </si>
  <si>
    <t>浙江省温州市瓯海区潘桥街道马桥村马桥头</t>
  </si>
  <si>
    <t>马桥天主教堂</t>
  </si>
  <si>
    <t>浙江省温州市瓯海区潘桥街道马桥村</t>
  </si>
  <si>
    <t>岷岗基督教堂</t>
  </si>
  <si>
    <t>浙江省温州市瓯海区潘桥街道岷岗新牧路72号</t>
  </si>
  <si>
    <t>南泉寺</t>
  </si>
  <si>
    <t>浙江省温州市瓯海区潘桥街道河西村</t>
  </si>
  <si>
    <t>潘桥基督教堂</t>
  </si>
  <si>
    <t>浙江省温州市瓯海区潘桥街道林桥头村</t>
  </si>
  <si>
    <t>屏山基督教堂</t>
  </si>
  <si>
    <t>浙江省温州市瓯海区潘桥街道屏山村</t>
  </si>
  <si>
    <t>清福寺</t>
  </si>
  <si>
    <t>浙江省温州市瓯海区潘桥街道屏山下岙村</t>
  </si>
  <si>
    <t>上清观</t>
  </si>
  <si>
    <t>天竺寺</t>
  </si>
  <si>
    <t>浙江省温州市瓯海区潘桥街道焦下村</t>
  </si>
  <si>
    <t>桐岭基督教堂</t>
  </si>
  <si>
    <t>浙江省温州市瓯海区潘桥街道桐岭村繁荣路10弄22号</t>
  </si>
  <si>
    <t>五斗太阴宫</t>
  </si>
  <si>
    <t>浙江省温州市瓯海区潘桥街道河西村皎庄</t>
  </si>
  <si>
    <t>霞碧宫</t>
  </si>
  <si>
    <t>浙江省温州市瓯海区潘桥街道霞碧山</t>
  </si>
  <si>
    <t>仙门基督教堂</t>
  </si>
  <si>
    <t>浙江省温州市瓯海区潘桥街道仙门村</t>
  </si>
  <si>
    <t>玉泉禅寺</t>
  </si>
  <si>
    <t>浙江省温州市瓯海区潘桥街道丁岙村彭岙玉泉路51号</t>
  </si>
  <si>
    <t>证圣禅寺</t>
  </si>
  <si>
    <t>浙江省温州市瓯海区潘桥街道老竹村</t>
  </si>
  <si>
    <t>忠义观</t>
  </si>
  <si>
    <t>浙江省温州市瓯海区潘桥街道林桥头东路29号</t>
  </si>
  <si>
    <t>八仙岩道观</t>
  </si>
  <si>
    <t>浙江省温州市瓯海区瞿溪街道桥下村</t>
  </si>
  <si>
    <t>大岙基督教堂</t>
  </si>
  <si>
    <t>浙江省温州市瓯海区瞿溪街道大岙村</t>
  </si>
  <si>
    <t>大同村基督教堂</t>
  </si>
  <si>
    <t>浙江省温州市瓯海区瞿溪街道大同村</t>
  </si>
  <si>
    <t>河头基督教堂(宁屿路)</t>
  </si>
  <si>
    <t>浙江省温州市瓯海区瞿溪街道宁屿路104号</t>
  </si>
  <si>
    <t>会善寺(瞿溪)</t>
  </si>
  <si>
    <t>浙江省温州市瓯海区瞿溪街道瞿溪村</t>
  </si>
  <si>
    <t>林桥基督教堂</t>
  </si>
  <si>
    <t>浙江省温州市瓯海区瞿溪街道林桥村</t>
  </si>
  <si>
    <t>普明寺</t>
  </si>
  <si>
    <t>浙江省温州市瓯海区瞿溪街道后屿街239号</t>
  </si>
  <si>
    <t>桥上基督教堂</t>
  </si>
  <si>
    <t>浙江省温州市瓯海区瞿溪街道桥上村石柱门路3号</t>
  </si>
  <si>
    <t>瞿岙基督教堂</t>
  </si>
  <si>
    <t>浙江省温州市瓯海区瞿溪街道瞿岙村金溪路102号</t>
  </si>
  <si>
    <t>瞿溪基督教聚会点</t>
  </si>
  <si>
    <t>瞿溪基督教堂</t>
  </si>
  <si>
    <t>瞿溪天主教堂</t>
  </si>
  <si>
    <t>浙江省温州市瓯海区瞿溪街道宁屿路221弄77号</t>
  </si>
  <si>
    <t>泉东川基督教堂</t>
  </si>
  <si>
    <t>浙江省温州市瓯海区瞿溪街道泉东川村</t>
  </si>
  <si>
    <t>沙对垟基督教聚会点</t>
  </si>
  <si>
    <t>浙江省温州市瓯海区瞿溪街道桥上村沙对垟</t>
  </si>
  <si>
    <t>雄溪基督教堂</t>
  </si>
  <si>
    <t>浙江省温州市瓯海区瞿溪街道雄溪村</t>
  </si>
  <si>
    <t>肇山基督教堂</t>
  </si>
  <si>
    <t>浙江省温州市瓯海区瞿溪街道肇山村</t>
  </si>
  <si>
    <t>河头基督教堂(垟河村)</t>
  </si>
  <si>
    <t>浙江省温州市瓯海区三垟街道垟河村</t>
  </si>
  <si>
    <t>黄屿基督教堂</t>
  </si>
  <si>
    <t>浙江省温州市瓯海区三垟街道黄屿村山前山上</t>
  </si>
  <si>
    <t>黄屿天主教堂</t>
  </si>
  <si>
    <t>浙江省温州市瓯海区三垟街道黄屿沿河路95号</t>
  </si>
  <si>
    <t>莲花堂</t>
  </si>
  <si>
    <t>浙江省温州市瓯海区三垟街道园底村三茶路587号</t>
  </si>
  <si>
    <t>榕源寺</t>
  </si>
  <si>
    <t>浙江省温州市瓯海区三垟街道樟岙村</t>
  </si>
  <si>
    <t>三垟基督教堂</t>
  </si>
  <si>
    <t>浙江省温州市瓯海区三垟街道后垟路20弄9号</t>
  </si>
  <si>
    <t>沙滩头基督教堂</t>
  </si>
  <si>
    <t>浙江省温州市瓯海区三垟街道丹东村沙滩头路21弄25号</t>
  </si>
  <si>
    <t>五灵观</t>
  </si>
  <si>
    <t>浙江省温州市瓯海区三垟街道吕家岸村兴岸路64号</t>
  </si>
  <si>
    <t>夏家牌太阴宫</t>
  </si>
  <si>
    <t>浙江省温州市瓯海区三垟街道夏家牌82号</t>
  </si>
  <si>
    <t>仙平寺</t>
  </si>
  <si>
    <t>浙江省温州市瓯海区三垟街道夏家牌</t>
  </si>
  <si>
    <t>显政禅寺</t>
  </si>
  <si>
    <t>浙江省温州市瓯海区三垟街道黄屿村寺前路1号</t>
  </si>
  <si>
    <t>永丰桥基督教堂</t>
  </si>
  <si>
    <t>浙江省温州市瓯海区三垟街道吕家岸村永丰桥</t>
  </si>
  <si>
    <t>张家桥太阴宫</t>
  </si>
  <si>
    <t>浙江省温州市瓯海区三垟街道沙河村张家桥58号</t>
  </si>
  <si>
    <t>伴云道观</t>
  </si>
  <si>
    <t>浙江省温州市瓯海区梧田街道南村</t>
  </si>
  <si>
    <t>北村基督教堂</t>
  </si>
  <si>
    <t>浙江省温州市瓯海区梧田街道北村顺展路24号</t>
  </si>
  <si>
    <t>慈航道院</t>
  </si>
  <si>
    <t>浙江省温州市瓯海区梧田街道南村幸福路81号</t>
  </si>
  <si>
    <t>法通寺</t>
  </si>
  <si>
    <t>浙江省温州市瓯海区梧田街道慈湖北村慈湖路288号</t>
  </si>
  <si>
    <t>福聚寺</t>
  </si>
  <si>
    <t>浙江省温州市瓯海区梧田街道河池路168号</t>
  </si>
  <si>
    <t>横山宫</t>
  </si>
  <si>
    <t>浙江省温州市瓯海区牛山南路底沙门</t>
  </si>
  <si>
    <t>聚圣观</t>
  </si>
  <si>
    <t>浙江省温州市瓯海区梧田街道梧三路227号</t>
  </si>
  <si>
    <t>丽田基督教堂</t>
  </si>
  <si>
    <t>浙江省温州市瓯海区梧田街道辽东村</t>
  </si>
  <si>
    <t>丽田太阴宫</t>
  </si>
  <si>
    <t>浙江省温州市瓯海区梧田街道南丽田街32-34号</t>
  </si>
  <si>
    <t>林村基督教堂</t>
  </si>
  <si>
    <t>浙江省温州市瓯海区梧田街道林村村</t>
  </si>
  <si>
    <t>林荫寺</t>
  </si>
  <si>
    <t>妙鸿道院</t>
  </si>
  <si>
    <t>浙江省温州市瓯海区梧田街道塘西村殿后路2号</t>
  </si>
  <si>
    <t>南堡寺</t>
  </si>
  <si>
    <t>浙江省温州市瓯海区梧田街道南堡村童宅巷68号</t>
  </si>
  <si>
    <t>南村基督教堂</t>
  </si>
  <si>
    <t>浙江省温州市瓯海区梧田街道南村村后巷13号</t>
  </si>
  <si>
    <t>蟠凤基督教堂</t>
  </si>
  <si>
    <t>浙江省温州市瓯海区梧田街道蟠凤村灯笼夹路1弄1号</t>
  </si>
  <si>
    <t>普济寺</t>
  </si>
  <si>
    <t>浙江省温州市瓯海区梧田街道寮东村丽田街31号</t>
  </si>
  <si>
    <t>沙门基督教堂</t>
  </si>
  <si>
    <t>浙江省温州市瓯海区梧田街道沙门南路97号</t>
  </si>
  <si>
    <t>沙门寺</t>
  </si>
  <si>
    <t>浙江省温州市瓯海区梧田街道沙门村</t>
  </si>
  <si>
    <t>塘东基督教堂</t>
  </si>
  <si>
    <t>浙江省温州市瓯海区梧田街道龙霞路420号</t>
  </si>
  <si>
    <t>塘西陈圣观</t>
  </si>
  <si>
    <t>浙江省温州市瓯海区梧田街道塘西山村咸占渎</t>
  </si>
  <si>
    <t>梧田基督教聚会点</t>
  </si>
  <si>
    <t>浙江省温州市瓯海区梧田街道梧田街村东垟路</t>
  </si>
  <si>
    <t>梧田基督教堂</t>
  </si>
  <si>
    <t>浙江省温州市瓯海区梧田街道大堡底村</t>
  </si>
  <si>
    <t>梧田太阴宫</t>
  </si>
  <si>
    <t>浙江省温州市瓯海区梧田街道东垟金川路</t>
  </si>
  <si>
    <t>香城寺</t>
  </si>
  <si>
    <t>浙江省温州市瓯海区梧田街道老殿后村牛桥路</t>
  </si>
  <si>
    <t>益寿堂</t>
  </si>
  <si>
    <t>浙江省温州市瓯海区梧田街道蟠凤村</t>
  </si>
  <si>
    <t>安福禅寺</t>
  </si>
  <si>
    <t>浙江省温州市瓯海区仙岩街道穗丰村</t>
  </si>
  <si>
    <t>白云寺</t>
  </si>
  <si>
    <t>浙江省温州市瓯海区仙岩街道仙北村(白云寺)</t>
  </si>
  <si>
    <t>宝岩寺</t>
  </si>
  <si>
    <t>浙江省温州市瓯海区仙岩街道西一村大罗山</t>
  </si>
  <si>
    <t>赤云寺</t>
  </si>
  <si>
    <t>浙江省温州市瓯海区仙岩街道西二村</t>
  </si>
  <si>
    <t>崇庆寺</t>
  </si>
  <si>
    <t>浙江省温州市瓯海区仙岩街道竹溪村</t>
  </si>
  <si>
    <t>慈宁宫</t>
  </si>
  <si>
    <t>浙江省温州市瓯海区仙岩街道岩二村</t>
  </si>
  <si>
    <t>伏虎寺</t>
  </si>
  <si>
    <t>浙江省温州市瓯海区仙岩街道仙北村(伏虎寺)</t>
  </si>
  <si>
    <t>甘露寺</t>
  </si>
  <si>
    <t>浙江省温州市瓯海区仙岩街道河口塘村河滨中路7号</t>
  </si>
  <si>
    <t>观音堂</t>
  </si>
  <si>
    <t>浙江省温州市瓯海区仙岩街道社帆村</t>
  </si>
  <si>
    <t>广福寺</t>
  </si>
  <si>
    <t>浙江省温州市瓯海区仙岩街道沈岙村(广福寺)</t>
  </si>
  <si>
    <t>河口塘基督教堂</t>
  </si>
  <si>
    <t>浙江省温州市瓯海区仙岩街道河口塘村</t>
  </si>
  <si>
    <t>黄云寺</t>
  </si>
  <si>
    <t>浙江省温州市瓯海区仙岩街道派岩西一村</t>
  </si>
  <si>
    <t>会善寺(下林)</t>
  </si>
  <si>
    <t>浙江省温州市瓯海区仙岩街道下林村(会善寺)</t>
  </si>
  <si>
    <t>津延寺</t>
  </si>
  <si>
    <t>浙江省温州市瓯海区仙岩街道岩二村朱繁路71号</t>
  </si>
  <si>
    <t>罗隐寺</t>
  </si>
  <si>
    <t>浙江省温州市瓯海区仙岩街道大罗山西一村</t>
  </si>
  <si>
    <t>普善寺</t>
  </si>
  <si>
    <t>浙江省温州市瓯海区仙岩街道沈岙村(普善寺)</t>
  </si>
  <si>
    <t>庆云寺</t>
  </si>
  <si>
    <t>浙江省温州市瓯海区仙岩街道自力村</t>
  </si>
  <si>
    <t>社岙基督教堂</t>
  </si>
  <si>
    <t>圣寿禅寺</t>
  </si>
  <si>
    <t>浙江省温州市瓯海区仙岩街道仙北村(圣寿禅寺)</t>
  </si>
  <si>
    <t>穗丰基督教堂</t>
  </si>
  <si>
    <t>浙江省温州市瓯海区仙岩街道穗丰村山前路10号</t>
  </si>
  <si>
    <t>天护寺</t>
  </si>
  <si>
    <t>浙江省温州市瓯海区仙岩街道仙南村</t>
  </si>
  <si>
    <t>天庆寺</t>
  </si>
  <si>
    <t>浙江省温州市瓯海区仙岩街道渔潭前村</t>
  </si>
  <si>
    <t>下林基督教聚会点</t>
  </si>
  <si>
    <t>浙江省温州市瓯海区仙岩街道下林村(下林基督教聚会点)</t>
  </si>
  <si>
    <t>下林基督教堂</t>
  </si>
  <si>
    <t>浙江省温州市瓯海区仙岩镇下林村温霞南路</t>
  </si>
  <si>
    <t>休凉寺</t>
  </si>
  <si>
    <t>岩头寺</t>
  </si>
  <si>
    <t>浙江省温州市瓯海区仙岩街道西一村</t>
  </si>
  <si>
    <t>岩下基督教堂</t>
  </si>
  <si>
    <t>浙江省温州市瓯海区仙岩街道岩下村</t>
  </si>
  <si>
    <t>永福寺</t>
  </si>
  <si>
    <t>浙江省温州市瓯海区仙岩街道仙北村中北路9号</t>
  </si>
  <si>
    <t>增福禅寺</t>
  </si>
  <si>
    <t>浙江省温州市瓯海区仙岩街道星光村</t>
  </si>
  <si>
    <t>增福寺</t>
  </si>
  <si>
    <t>浙江省温州市瓯海区仙岩街道仙北村(增福寺)</t>
  </si>
  <si>
    <t>宝界禅寺</t>
  </si>
  <si>
    <t>浙江省温州市瓯海区新桥街道山前村</t>
  </si>
  <si>
    <t>大悲寺</t>
  </si>
  <si>
    <t>浙江省温州市瓯海区新桥街道山前村西岙底</t>
  </si>
  <si>
    <t>高翔基督教堂</t>
  </si>
  <si>
    <t>浙江省温州市瓯海区新桥街道高翔牛山西路145号</t>
  </si>
  <si>
    <t>鹤云观</t>
  </si>
  <si>
    <t>礼慧讲寺</t>
  </si>
  <si>
    <t>浙江省温州市瓯海区新桥街道高翔村牛山路15号</t>
  </si>
  <si>
    <t>青心观</t>
  </si>
  <si>
    <t>浙江省温州市瓯海区新桥街道高翔村牛山路17号</t>
  </si>
  <si>
    <t>卧云寺(阳岙)</t>
  </si>
  <si>
    <t>浙江省温州市瓯海区新桥街道阳岙村</t>
  </si>
  <si>
    <t>西堡基督教聚会点</t>
  </si>
  <si>
    <t>浙江省温州市瓯海区新桥街道西堡西宁街10号</t>
  </si>
  <si>
    <t>香积寺</t>
  </si>
  <si>
    <t>浙江省温州市瓯海区新桥街道西山西路290弄</t>
  </si>
  <si>
    <t>新桥基督教堂</t>
  </si>
  <si>
    <t>浙江省温州市瓯海区新桥街道西岸村</t>
  </si>
  <si>
    <t>新桥天主教堂</t>
  </si>
  <si>
    <t>浙江省温州市瓯海区新桥街道西堡西宁后巷4号</t>
  </si>
  <si>
    <t>阳岙基督教堂</t>
  </si>
  <si>
    <t>浙江省温州市瓯海区新桥街道东曹路55号</t>
  </si>
  <si>
    <t>一心庵</t>
  </si>
  <si>
    <t>浙江省温州市瓯海区新桥街道永庆街92弄5号</t>
  </si>
  <si>
    <t>庄济观</t>
  </si>
  <si>
    <t>浙江省温州市瓯海区新桥街道山前社区</t>
  </si>
  <si>
    <t>安乐溪基督教堂</t>
  </si>
  <si>
    <t>浙江省温州市瓯海区泽雅镇安乐溪村</t>
  </si>
  <si>
    <t>坳头基督教堂</t>
  </si>
  <si>
    <t>浙江省温州市瓯海区泽雅镇隔岸村</t>
  </si>
  <si>
    <t>包岙基督教堂</t>
  </si>
  <si>
    <t>浙江省温州市瓯海区泽雅镇包岙村</t>
  </si>
  <si>
    <t>陈岙基督教堂(陈岙村)</t>
  </si>
  <si>
    <t>浙江省温州市瓯海区泽雅镇陈岙村</t>
  </si>
  <si>
    <t>陈垟宫</t>
  </si>
  <si>
    <t>浙江省温州市瓯海区泽雅镇天长村</t>
  </si>
  <si>
    <t>大石垟天主教堂</t>
  </si>
  <si>
    <t>浙江省温州市瓯海区泽雅镇大石垟村</t>
  </si>
  <si>
    <t>东岸基督教堂</t>
  </si>
  <si>
    <t>浙江省温州市瓯海区泽雅镇李山村</t>
  </si>
  <si>
    <t>戈恬基督教堂</t>
  </si>
  <si>
    <t>浙江省温州市瓯海区泽雅镇戈恬村大坟山山脚</t>
  </si>
  <si>
    <t>戈恬天主教堂</t>
  </si>
  <si>
    <t>浙江省温州市瓯海区泽雅镇戈恬村</t>
  </si>
  <si>
    <t>古双基督教堂</t>
  </si>
  <si>
    <t>浙江省温州市瓯海区泽雅镇古双村</t>
  </si>
  <si>
    <t>桂川基督教堂</t>
  </si>
  <si>
    <t>浙江省温州市瓯海区泽雅镇桂川村</t>
  </si>
  <si>
    <t>鹤岙基督教堂</t>
  </si>
  <si>
    <t>浙江省温州市瓯海区泽雅镇鹤岙村</t>
  </si>
  <si>
    <t>黄公楼基督教堂</t>
  </si>
  <si>
    <t>浙江省温州市瓯海区泽雅镇山后村黄公楼</t>
  </si>
  <si>
    <t>黄坑基督教堂</t>
  </si>
  <si>
    <t>浙江省温州市瓯海区泽雅镇黄坑村</t>
  </si>
  <si>
    <t>黄岭头基督教堂</t>
  </si>
  <si>
    <t>浙江省温州市瓯海区泽雅镇黄岭头村</t>
  </si>
  <si>
    <t>黄山基督教堂</t>
  </si>
  <si>
    <t>浙江省温州市瓯海区泽雅镇黄山村</t>
  </si>
  <si>
    <t>寂照禅寺</t>
  </si>
  <si>
    <t>浙江省温州市瓯海区泽雅镇大垟村</t>
  </si>
  <si>
    <t>金岙基督教堂</t>
  </si>
  <si>
    <t>浙江省温州市瓯海区泽雅镇金岙村</t>
  </si>
  <si>
    <t>进垟基督教堂</t>
  </si>
  <si>
    <t>浙江省温州市瓯海区泽雅镇进垟村</t>
  </si>
  <si>
    <t>库门坳基督教堂</t>
  </si>
  <si>
    <t>浙江省温州市瓯海区泽雅镇库门坳村</t>
  </si>
  <si>
    <t>林岙基督教堂</t>
  </si>
  <si>
    <t>浙江省温州市瓯海区泽雅镇林岙村</t>
  </si>
  <si>
    <t>林垟基督教堂</t>
  </si>
  <si>
    <t>浙江省温州市瓯海区泽雅镇胡坦村</t>
  </si>
  <si>
    <t>凌云寺</t>
  </si>
  <si>
    <t>岭雪基督教堂</t>
  </si>
  <si>
    <t>浙江省温州市瓯海区泽雅镇岭雪村第二小组东路下</t>
  </si>
  <si>
    <t>刘大宫</t>
  </si>
  <si>
    <t>浙江省温州市瓯海区泽雅镇南山村</t>
  </si>
  <si>
    <t>龙井宫</t>
  </si>
  <si>
    <t>龙头基督教堂</t>
  </si>
  <si>
    <t>浙江省温州市瓯海区泽雅镇龙头村</t>
  </si>
  <si>
    <t>龙头真武宫</t>
  </si>
  <si>
    <t>路坳头基督教堂</t>
  </si>
  <si>
    <t>浙江省温州市瓯海区泽雅镇郑坑村路坳头</t>
  </si>
  <si>
    <t>麻芝川基督教堂</t>
  </si>
  <si>
    <t>浙江省温州市瓯海区泽雅镇麻芝川村</t>
  </si>
  <si>
    <t>庙后基督教堂</t>
  </si>
  <si>
    <t>浙江省温州市瓯海区泽雅镇庙后村</t>
  </si>
  <si>
    <t>潘宅基督教堂</t>
  </si>
  <si>
    <t>浙江省温州市瓯海区泽雅镇潘宅村</t>
  </si>
  <si>
    <t>三马路基督教堂</t>
  </si>
  <si>
    <t>浙江省温州市瓯海区泽雅镇仙宅山村</t>
  </si>
  <si>
    <t>山后基督教堂</t>
  </si>
  <si>
    <t>浙江省温州市瓯海区泽雅镇并村垟村</t>
  </si>
  <si>
    <t>上潘基督教堂</t>
  </si>
  <si>
    <t>浙江省温州市瓯海区泽雅镇上潘村</t>
  </si>
  <si>
    <t>上潘镇武宫</t>
  </si>
  <si>
    <t>石坑基督教堂</t>
  </si>
  <si>
    <t>浙江省温州市瓯海区泽雅镇石坑村</t>
  </si>
  <si>
    <t>石马宫</t>
  </si>
  <si>
    <t>浙江省温州市瓯海区泽雅镇下村大港头</t>
  </si>
  <si>
    <t>石桥基督教堂</t>
  </si>
  <si>
    <t>浙江省温州市瓯海区泽雅镇石桥村</t>
  </si>
  <si>
    <t>双一基督教堂</t>
  </si>
  <si>
    <t>浙江省温州市瓯海区泽雅镇双一村</t>
  </si>
  <si>
    <t>唐口龙基督教堂</t>
  </si>
  <si>
    <t>浙江省温州市瓯海区泽雅镇唐口龙村</t>
  </si>
  <si>
    <t>唐宅基督教堂</t>
  </si>
  <si>
    <t>浙江省温州市瓯海区泽雅镇唐宅村</t>
  </si>
  <si>
    <t>天长基督教堂</t>
  </si>
  <si>
    <t>外叶村基督教堂</t>
  </si>
  <si>
    <t>浙江省温州市瓯海区泽雅镇外叶村</t>
  </si>
  <si>
    <t>五凤垟基督教堂</t>
  </si>
  <si>
    <t>浙江省温州市瓯海区泽雅镇五凤垟村</t>
  </si>
  <si>
    <t>西岸基督教堂</t>
  </si>
  <si>
    <t>浙江省温州市瓯海区泽雅镇西岸村</t>
  </si>
  <si>
    <t>西岸乡苏田基督教堂</t>
  </si>
  <si>
    <t>浙江省温州市瓯海区泽雅镇西岸乡苏田村</t>
  </si>
  <si>
    <t>西雁基督教堂</t>
  </si>
  <si>
    <t>浙江省温州市瓯海区泽雅镇下庵村</t>
  </si>
  <si>
    <t>下村基督教堂</t>
  </si>
  <si>
    <t>浙江省温州市瓯海区泽雅镇下村村</t>
  </si>
  <si>
    <t>下连坑基督教堂</t>
  </si>
  <si>
    <t>浙江省温州市瓯海区泽雅镇下连坑村</t>
  </si>
  <si>
    <t>下良基督教堂</t>
  </si>
  <si>
    <t>浙江省温州市瓯海区泽雅镇下良村</t>
  </si>
  <si>
    <t>小石垟基督教堂</t>
  </si>
  <si>
    <t>浙江省温州市瓯海区泽雅镇小石垟村</t>
  </si>
  <si>
    <t>小源基督教堂</t>
  </si>
  <si>
    <t>浙江省温州市瓯海区泽雅镇小源村</t>
  </si>
  <si>
    <t>言章基督教堂</t>
  </si>
  <si>
    <t>浙江省温州市瓯海区泽雅镇言章村</t>
  </si>
  <si>
    <t>岩角山基督教堂</t>
  </si>
  <si>
    <t>浙江省温州市瓯海区泽雅镇岩角山村</t>
  </si>
  <si>
    <t>岩门基督教堂</t>
  </si>
  <si>
    <t>浙江省温州市瓯海区泽雅镇岩门村</t>
  </si>
  <si>
    <t>岩头宫</t>
  </si>
  <si>
    <t>浙江省温州市瓯海区泽雅镇李降垟村</t>
  </si>
  <si>
    <t>垟坑基督教堂</t>
  </si>
  <si>
    <t>浙江省温州市瓯海区泽雅镇垟坑村</t>
  </si>
  <si>
    <t>垟田基督教堂</t>
  </si>
  <si>
    <t>浙江省温州市瓯海区泽雅镇垟田村</t>
  </si>
  <si>
    <t>屿山基督教堂</t>
  </si>
  <si>
    <t>浙江省温州市瓯海区泽雅镇屿山村</t>
  </si>
  <si>
    <t>源口基督教堂</t>
  </si>
  <si>
    <t>浙江省温州市瓯海区泽雅镇源口村顺京路84号</t>
  </si>
  <si>
    <t>郑家山基督教堂</t>
  </si>
  <si>
    <t>浙江省温州市瓯海区泽雅镇郑家山村</t>
  </si>
  <si>
    <t>平安寺（居士林）</t>
  </si>
  <si>
    <t>浙江省温州市瓯海区慈湖平安路218号</t>
  </si>
  <si>
    <t>紫霄道观</t>
  </si>
  <si>
    <t>浙江省温州市瓯海区景山街道西山东路234弄</t>
  </si>
  <si>
    <t>头陀寺</t>
  </si>
  <si>
    <t>浙江省温州市瓯海区南白象街道鹅湖村</t>
  </si>
  <si>
    <t>重点场所</t>
  </si>
  <si>
    <t>涉宗案件</t>
  </si>
  <si>
    <t>投诉举报</t>
  </si>
  <si>
    <t>重点工作</t>
  </si>
  <si>
    <t>场所安全</t>
  </si>
  <si>
    <t>规范管理</t>
  </si>
  <si>
    <t>红</t>
  </si>
  <si>
    <t>黄</t>
  </si>
  <si>
    <t>绿</t>
  </si>
  <si>
    <t>未处理</t>
  </si>
  <si>
    <t>00</t>
  </si>
  <si>
    <t>已处理</t>
  </si>
  <si>
    <t>01</t>
  </si>
  <si>
    <t>处理中</t>
  </si>
  <si>
    <t>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</si>
</sst>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9.8"/>
      <color rgb="FF080808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49" fontId="1" fillId="0" borderId="0" xfId="0" applyNumberFormat="1" applyFont="1" applyFill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6" fontId="0" fillId="0" borderId="0" xfId="0" applyNumberFormat="1" applyAlignment="1" applyProtection="1">
      <alignment horizontal="center" vertical="center"/>
      <protection locked="0"/>
    </xf>
    <xf numFmtId="49" fontId="1" fillId="0" borderId="0" xfId="0" applyNumberFormat="1" applyFont="1" applyFill="1" applyAlignment="1" applyProtection="1">
      <alignment horizontal="center" vertical="center"/>
      <protection locked="0"/>
    </xf>
    <xf numFmtId="49" fontId="1" fillId="0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hidden="1"/>
    </xf>
    <xf numFmtId="176" fontId="1" fillId="0" borderId="0" xfId="0" applyNumberFormat="1" applyFont="1" applyFill="1" applyAlignment="1" applyProtection="1">
      <alignment horizontal="center" vertical="center" wrapText="1"/>
      <protection locked="0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59"/>
  <sheetViews>
    <sheetView tabSelected="1" topLeftCell="B1" workbookViewId="0">
      <selection activeCell="L8" sqref="L8"/>
    </sheetView>
  </sheetViews>
  <sheetFormatPr defaultColWidth="8.88888888888889" defaultRowHeight="14.4"/>
  <cols>
    <col min="1" max="1" width="15.3333333333333" style="4" customWidth="1"/>
    <col min="2" max="2" width="37" customWidth="1"/>
    <col min="3" max="3" width="8.88888888888889" hidden="1" customWidth="1"/>
    <col min="4" max="4" width="10.4444444444444" style="5" customWidth="1"/>
    <col min="5" max="5" width="0.222222222222222" hidden="1" customWidth="1"/>
    <col min="6" max="6" width="10.1111111111111" style="5" customWidth="1"/>
    <col min="7" max="7" width="8.88888888888889" hidden="1" customWidth="1"/>
    <col min="8" max="8" width="19.8888888888889" style="6" customWidth="1"/>
    <col min="9" max="9" width="50.1111111111111" style="4" customWidth="1"/>
    <col min="10" max="10" width="10.2222222222222" style="5" customWidth="1"/>
    <col min="11" max="11" width="0.222222222222222" hidden="1" customWidth="1"/>
    <col min="12" max="12" width="21.2222222222222" style="6" customWidth="1"/>
    <col min="13" max="13" width="33.6666666666667" style="4" customWidth="1"/>
    <col min="14" max="14" width="16.6666666666667" style="4" customWidth="1"/>
  </cols>
  <sheetData>
    <row r="1" s="3" customFormat="1" ht="54" customHeight="1" spans="1:14">
      <c r="A1" s="7" t="s">
        <v>0</v>
      </c>
      <c r="B1" s="3" t="s">
        <v>1</v>
      </c>
      <c r="C1" s="8" t="s">
        <v>2</v>
      </c>
      <c r="D1" s="9" t="s">
        <v>3</v>
      </c>
      <c r="E1" s="10" t="s">
        <v>4</v>
      </c>
      <c r="F1" s="9" t="s">
        <v>5</v>
      </c>
      <c r="G1" s="10" t="s">
        <v>6</v>
      </c>
      <c r="H1" s="11" t="s">
        <v>7</v>
      </c>
      <c r="I1" s="7" t="s">
        <v>8</v>
      </c>
      <c r="J1" s="9" t="s">
        <v>9</v>
      </c>
      <c r="K1" s="10" t="s">
        <v>10</v>
      </c>
      <c r="L1" s="11" t="s">
        <v>11</v>
      </c>
      <c r="M1" s="7" t="s">
        <v>12</v>
      </c>
      <c r="N1" s="7" t="s">
        <v>13</v>
      </c>
    </row>
    <row r="2" spans="1:14">
      <c r="B2" t="str">
        <f>IFERROR(VLOOKUP(A2,venue!A:C,3,FALSE),"")</f>
        <v/>
      </c>
      <c r="C2" t="str">
        <f>IFERROR(VLOOKUP(A2,venue!A:B,2,FALSE),"")</f>
        <v/>
      </c>
      <c r="E2" t="str">
        <f>IFERROR(VLOOKUP(D2,type!A:B,2,FALSE),"")</f>
        <v/>
      </c>
      <c r="G2" t="str">
        <f>IFERROR(VLOOKUP(F2,color!A:B,2,FALSE),"")</f>
        <v/>
      </c>
      <c r="K2" t="str">
        <f>IFERROR(VLOOKUP(J2,state!A:B,2,FALSE),"")</f>
        <v/>
      </c>
    </row>
    <row r="3" spans="1:14">
      <c r="B3" t="str">
        <f>IFERROR(VLOOKUP(A3,venue!A:C,3,FALSE),"")</f>
        <v/>
      </c>
      <c r="C3" t="str">
        <f>IFERROR(VLOOKUP(A3,venue!A:B,2,FALSE),"")</f>
        <v/>
      </c>
      <c r="E3" t="str">
        <f>IFERROR(VLOOKUP(D3,type!A:B,2,FALSE),"")</f>
        <v/>
      </c>
      <c r="G3" t="str">
        <f>IFERROR(VLOOKUP(F3,color!A:B,2,FALSE),"")</f>
        <v/>
      </c>
      <c r="K3" t="str">
        <f>IFERROR(VLOOKUP(J3,state!A:B,2,FALSE),"")</f>
        <v/>
      </c>
    </row>
    <row r="4" spans="1:14">
      <c r="B4" t="str">
        <f>IFERROR(VLOOKUP(A4,venue!A:C,3,FALSE),"")</f>
        <v/>
      </c>
      <c r="C4" t="str">
        <f>IFERROR(VLOOKUP(A4,venue!A:B,2,FALSE),"")</f>
        <v/>
      </c>
      <c r="E4" t="str">
        <f>IFERROR(VLOOKUP(D4,type!A:B,2,FALSE),"")</f>
        <v/>
      </c>
      <c r="G4" t="str">
        <f>IFERROR(VLOOKUP(F4,color!A:B,2,FALSE),"")</f>
        <v/>
      </c>
      <c r="K4" t="str">
        <f>IFERROR(VLOOKUP(J4,state!A:B,2,FALSE),"")</f>
        <v/>
      </c>
    </row>
    <row r="5" spans="1:14">
      <c r="B5" t="str">
        <f>IFERROR(VLOOKUP(A5,venue!A:C,3,FALSE),"")</f>
        <v/>
      </c>
      <c r="C5" t="str">
        <f>IFERROR(VLOOKUP(A5,venue!A:B,2,FALSE),"")</f>
        <v/>
      </c>
      <c r="E5" t="str">
        <f>IFERROR(VLOOKUP(D5,type!A:B,2,FALSE),"")</f>
        <v/>
      </c>
      <c r="G5" t="str">
        <f>IFERROR(VLOOKUP(F5,color!A:B,2,FALSE),"")</f>
        <v/>
      </c>
      <c r="K5" t="str">
        <f>IFERROR(VLOOKUP(J5,state!A:B,2,FALSE),"")</f>
        <v/>
      </c>
    </row>
    <row r="6" spans="1:14">
      <c r="B6" t="str">
        <f>IFERROR(VLOOKUP(A6,venue!A:C,3,FALSE),"")</f>
        <v/>
      </c>
      <c r="C6" t="str">
        <f>IFERROR(VLOOKUP(A6,venue!A:B,2,FALSE),"")</f>
        <v/>
      </c>
      <c r="E6" t="str">
        <f>IFERROR(VLOOKUP(D6,type!A:B,2,FALSE),"")</f>
        <v/>
      </c>
      <c r="G6" t="str">
        <f>IFERROR(VLOOKUP(F6,color!A:B,2,FALSE),"")</f>
        <v/>
      </c>
      <c r="K6" t="str">
        <f>IFERROR(VLOOKUP(J6,state!A:B,2,FALSE),"")</f>
        <v/>
      </c>
    </row>
    <row r="7" spans="1:14">
      <c r="B7" t="str">
        <f>IFERROR(VLOOKUP(A7,venue!A:C,3,FALSE),"")</f>
        <v/>
      </c>
      <c r="C7" t="str">
        <f>IFERROR(VLOOKUP(A7,venue!A:B,2,FALSE),"")</f>
        <v/>
      </c>
      <c r="E7" t="str">
        <f>IFERROR(VLOOKUP(D7,type!A:B,2,FALSE),"")</f>
        <v/>
      </c>
      <c r="G7" t="str">
        <f>IFERROR(VLOOKUP(F7,color!A:B,2,FALSE),"")</f>
        <v/>
      </c>
      <c r="K7" t="str">
        <f>IFERROR(VLOOKUP(J7,state!A:B,2,FALSE),"")</f>
        <v/>
      </c>
    </row>
    <row r="8" spans="1:14">
      <c r="B8" t="str">
        <f>IFERROR(VLOOKUP(A8,venue!A:C,3,FALSE),"")</f>
        <v/>
      </c>
      <c r="C8" t="str">
        <f>IFERROR(VLOOKUP(A8,venue!A:B,2,FALSE),"")</f>
        <v/>
      </c>
      <c r="E8" t="str">
        <f>IFERROR(VLOOKUP(D8,type!A:B,2,FALSE),"")</f>
        <v/>
      </c>
      <c r="G8" t="str">
        <f>IFERROR(VLOOKUP(F8,color!A:B,2,FALSE),"")</f>
        <v/>
      </c>
      <c r="K8" t="str">
        <f>IFERROR(VLOOKUP(J8,state!A:B,2,FALSE),"")</f>
        <v/>
      </c>
    </row>
    <row r="9" spans="1:14">
      <c r="B9" t="str">
        <f>IFERROR(VLOOKUP(A9,venue!A:C,3,FALSE),"")</f>
        <v/>
      </c>
      <c r="C9" t="str">
        <f>IFERROR(VLOOKUP(A9,venue!A:B,2,FALSE),"")</f>
        <v/>
      </c>
      <c r="E9" t="str">
        <f>IFERROR(VLOOKUP(D9,type!A:B,2,FALSE),"")</f>
        <v/>
      </c>
      <c r="G9" t="str">
        <f>IFERROR(VLOOKUP(F9,color!A:B,2,FALSE),"")</f>
        <v/>
      </c>
      <c r="K9" t="str">
        <f>IFERROR(VLOOKUP(J9,state!A:B,2,FALSE),"")</f>
        <v/>
      </c>
    </row>
    <row r="10" spans="1:14">
      <c r="B10" t="str">
        <f>IFERROR(VLOOKUP(A10,venue!A:C,3,FALSE),"")</f>
        <v/>
      </c>
      <c r="C10" t="str">
        <f>IFERROR(VLOOKUP(A10,venue!A:B,2,FALSE),"")</f>
        <v/>
      </c>
      <c r="E10" t="str">
        <f>IFERROR(VLOOKUP(D10,type!A:B,2,FALSE),"")</f>
        <v/>
      </c>
      <c r="G10" t="str">
        <f>IFERROR(VLOOKUP(F10,color!A:B,2,FALSE),"")</f>
        <v/>
      </c>
      <c r="K10" t="str">
        <f>IFERROR(VLOOKUP(J10,state!A:B,2,FALSE),"")</f>
        <v/>
      </c>
    </row>
    <row r="11" spans="1:14">
      <c r="B11" t="str">
        <f>IFERROR(VLOOKUP(A11,venue!A:C,3,FALSE),"")</f>
        <v/>
      </c>
      <c r="C11" t="str">
        <f>IFERROR(VLOOKUP(A11,venue!A:B,2,FALSE),"")</f>
        <v/>
      </c>
      <c r="E11" t="str">
        <f>IFERROR(VLOOKUP(D11,type!A:B,2,FALSE),"")</f>
        <v/>
      </c>
      <c r="G11" t="str">
        <f>IFERROR(VLOOKUP(F11,color!A:B,2,FALSE),"")</f>
        <v/>
      </c>
      <c r="K11" t="str">
        <f>IFERROR(VLOOKUP(J11,state!A:B,2,FALSE),"")</f>
        <v/>
      </c>
    </row>
    <row r="12" spans="1:14">
      <c r="B12" t="str">
        <f>IFERROR(VLOOKUP(A12,venue!A:C,3,FALSE),"")</f>
        <v/>
      </c>
      <c r="C12" t="str">
        <f>IFERROR(VLOOKUP(A12,venue!A:B,2,FALSE),"")</f>
        <v/>
      </c>
      <c r="E12" t="str">
        <f>IFERROR(VLOOKUP(D12,type!A:B,2,FALSE),"")</f>
        <v/>
      </c>
      <c r="G12" t="str">
        <f>IFERROR(VLOOKUP(F12,color!A:B,2,FALSE),"")</f>
        <v/>
      </c>
      <c r="K12" t="str">
        <f>IFERROR(VLOOKUP(J12,state!A:B,2,FALSE),"")</f>
        <v/>
      </c>
    </row>
    <row r="13" spans="1:14">
      <c r="B13" t="str">
        <f>IFERROR(VLOOKUP(A13,venue!A:C,3,FALSE),"")</f>
        <v/>
      </c>
      <c r="C13" t="str">
        <f>IFERROR(VLOOKUP(A13,venue!A:B,2,FALSE),"")</f>
        <v/>
      </c>
      <c r="E13" t="str">
        <f>IFERROR(VLOOKUP(D13,type!A:B,2,FALSE),"")</f>
        <v/>
      </c>
      <c r="G13" t="str">
        <f>IFERROR(VLOOKUP(F13,color!A:B,2,FALSE),"")</f>
        <v/>
      </c>
      <c r="K13" t="str">
        <f>IFERROR(VLOOKUP(J13,state!A:B,2,FALSE),"")</f>
        <v/>
      </c>
    </row>
    <row r="14" spans="1:14">
      <c r="B14" t="str">
        <f>IFERROR(VLOOKUP(A14,venue!A:C,3,FALSE),"")</f>
        <v/>
      </c>
      <c r="C14" t="str">
        <f>IFERROR(VLOOKUP(A14,venue!A:B,2,FALSE),"")</f>
        <v/>
      </c>
      <c r="E14" t="str">
        <f>IFERROR(VLOOKUP(D14,type!A:B,2,FALSE),"")</f>
        <v/>
      </c>
      <c r="G14" t="str">
        <f>IFERROR(VLOOKUP(F14,color!A:B,2,FALSE),"")</f>
        <v/>
      </c>
      <c r="K14" t="str">
        <f>IFERROR(VLOOKUP(J14,state!A:B,2,FALSE),"")</f>
        <v/>
      </c>
    </row>
    <row r="15" spans="1:14">
      <c r="B15" t="str">
        <f>IFERROR(VLOOKUP(A15,venue!A:C,3,FALSE),"")</f>
        <v/>
      </c>
      <c r="C15" t="str">
        <f>IFERROR(VLOOKUP(A15,venue!A:B,2,FALSE),"")</f>
        <v/>
      </c>
      <c r="E15" t="str">
        <f>IFERROR(VLOOKUP(D15,type!A:B,2,FALSE),"")</f>
        <v/>
      </c>
      <c r="G15" t="str">
        <f>IFERROR(VLOOKUP(F15,color!A:B,2,FALSE),"")</f>
        <v/>
      </c>
      <c r="K15" t="str">
        <f>IFERROR(VLOOKUP(J15,state!A:B,2,FALSE),"")</f>
        <v/>
      </c>
    </row>
    <row r="16" spans="1:14">
      <c r="B16" t="str">
        <f>IFERROR(VLOOKUP(A16,venue!A:C,3,FALSE),"")</f>
        <v/>
      </c>
      <c r="C16" t="str">
        <f>IFERROR(VLOOKUP(A16,venue!A:B,2,FALSE),"")</f>
        <v/>
      </c>
      <c r="E16" t="str">
        <f>IFERROR(VLOOKUP(D16,type!A:B,2,FALSE),"")</f>
        <v/>
      </c>
      <c r="G16" t="str">
        <f>IFERROR(VLOOKUP(F16,color!A:B,2,FALSE),"")</f>
        <v/>
      </c>
      <c r="K16" t="str">
        <f>IFERROR(VLOOKUP(J16,state!A:B,2,FALSE),"")</f>
        <v/>
      </c>
    </row>
    <row r="17" spans="2:11">
      <c r="B17" t="str">
        <f>IFERROR(VLOOKUP(A17,venue!A:C,3,FALSE),"")</f>
        <v/>
      </c>
      <c r="C17" t="str">
        <f>IFERROR(VLOOKUP(A17,venue!A:B,2,FALSE),"")</f>
        <v/>
      </c>
      <c r="E17" t="str">
        <f>IFERROR(VLOOKUP(D17,type!A:B,2,FALSE),"")</f>
        <v/>
      </c>
      <c r="G17" t="str">
        <f>IFERROR(VLOOKUP(F17,color!A:B,2,FALSE),"")</f>
        <v/>
      </c>
      <c r="K17" t="str">
        <f>IFERROR(VLOOKUP(J17,state!A:B,2,FALSE),"")</f>
        <v/>
      </c>
    </row>
    <row r="18" spans="2:11">
      <c r="B18" t="str">
        <f>IFERROR(VLOOKUP(A18,venue!A:C,3,FALSE),"")</f>
        <v/>
      </c>
      <c r="C18" t="str">
        <f>IFERROR(VLOOKUP(A18,venue!A:B,2,FALSE),"")</f>
        <v/>
      </c>
      <c r="E18" t="str">
        <f>IFERROR(VLOOKUP(D18,type!A:B,2,FALSE),"")</f>
        <v/>
      </c>
      <c r="G18" t="str">
        <f>IFERROR(VLOOKUP(F18,color!A:B,2,FALSE),"")</f>
        <v/>
      </c>
      <c r="K18" t="str">
        <f>IFERROR(VLOOKUP(J18,state!A:B,2,FALSE),"")</f>
        <v/>
      </c>
    </row>
    <row r="19" spans="2:11">
      <c r="B19" t="str">
        <f>IFERROR(VLOOKUP(A19,venue!A:C,3,FALSE),"")</f>
        <v/>
      </c>
      <c r="C19" t="str">
        <f>IFERROR(VLOOKUP(A19,venue!A:B,2,FALSE),"")</f>
        <v/>
      </c>
      <c r="E19" t="str">
        <f>IFERROR(VLOOKUP(D19,type!A:B,2,FALSE),"")</f>
        <v/>
      </c>
      <c r="G19" t="str">
        <f>IFERROR(VLOOKUP(F19,color!A:B,2,FALSE),"")</f>
        <v/>
      </c>
      <c r="K19" t="str">
        <f>IFERROR(VLOOKUP(J19,state!A:B,2,FALSE),"")</f>
        <v/>
      </c>
    </row>
    <row r="20" spans="2:11">
      <c r="B20" t="str">
        <f>IFERROR(VLOOKUP(A20,venue!A:C,3,FALSE),"")</f>
        <v/>
      </c>
      <c r="C20" t="str">
        <f>IFERROR(VLOOKUP(A20,venue!A:B,2,FALSE),"")</f>
        <v/>
      </c>
      <c r="E20" t="str">
        <f>IFERROR(VLOOKUP(D20,type!A:B,2,FALSE),"")</f>
        <v/>
      </c>
      <c r="G20" t="str">
        <f>IFERROR(VLOOKUP(F20,color!A:B,2,FALSE),"")</f>
        <v/>
      </c>
      <c r="K20" t="str">
        <f>IFERROR(VLOOKUP(J20,state!A:B,2,FALSE),"")</f>
        <v/>
      </c>
    </row>
    <row r="21" spans="2:11">
      <c r="B21" t="str">
        <f>IFERROR(VLOOKUP(A21,venue!A:C,3,FALSE),"")</f>
        <v/>
      </c>
      <c r="C21" t="str">
        <f>IFERROR(VLOOKUP(A21,venue!A:B,2,FALSE),"")</f>
        <v/>
      </c>
      <c r="E21" t="str">
        <f>IFERROR(VLOOKUP(D21,type!A:B,2,FALSE),"")</f>
        <v/>
      </c>
      <c r="G21" t="str">
        <f>IFERROR(VLOOKUP(F21,color!A:B,2,FALSE),"")</f>
        <v/>
      </c>
      <c r="K21" t="str">
        <f>IFERROR(VLOOKUP(J21,state!A:B,2,FALSE),"")</f>
        <v/>
      </c>
    </row>
    <row r="22" spans="2:11">
      <c r="B22" t="str">
        <f>IFERROR(VLOOKUP(A22,venue!A:C,3,FALSE),"")</f>
        <v/>
      </c>
      <c r="C22" t="str">
        <f>IFERROR(VLOOKUP(A22,venue!A:B,2,FALSE),"")</f>
        <v/>
      </c>
      <c r="E22" t="str">
        <f>IFERROR(VLOOKUP(D22,type!A:B,2,FALSE),"")</f>
        <v/>
      </c>
      <c r="G22" t="str">
        <f>IFERROR(VLOOKUP(F22,color!A:B,2,FALSE),"")</f>
        <v/>
      </c>
      <c r="K22" t="str">
        <f>IFERROR(VLOOKUP(J22,state!A:B,2,FALSE),"")</f>
        <v/>
      </c>
    </row>
    <row r="23" spans="2:11">
      <c r="B23" t="str">
        <f>IFERROR(VLOOKUP(A23,venue!A:C,3,FALSE),"")</f>
        <v/>
      </c>
      <c r="C23" t="str">
        <f>IFERROR(VLOOKUP(A23,venue!A:B,2,FALSE),"")</f>
        <v/>
      </c>
      <c r="E23" t="str">
        <f>IFERROR(VLOOKUP(D23,type!A:B,2,FALSE),"")</f>
        <v/>
      </c>
      <c r="G23" t="str">
        <f>IFERROR(VLOOKUP(F23,color!A:B,2,FALSE),"")</f>
        <v/>
      </c>
      <c r="K23" t="str">
        <f>IFERROR(VLOOKUP(J23,state!A:B,2,FALSE),"")</f>
        <v/>
      </c>
    </row>
    <row r="24" spans="2:11">
      <c r="B24" t="str">
        <f>IFERROR(VLOOKUP(A24,venue!A:C,3,FALSE),"")</f>
        <v/>
      </c>
      <c r="C24" t="str">
        <f>IFERROR(VLOOKUP(A24,venue!A:B,2,FALSE),"")</f>
        <v/>
      </c>
      <c r="E24" t="str">
        <f>IFERROR(VLOOKUP(D24,type!A:B,2,FALSE),"")</f>
        <v/>
      </c>
      <c r="G24" t="str">
        <f>IFERROR(VLOOKUP(F24,color!A:B,2,FALSE),"")</f>
        <v/>
      </c>
      <c r="K24" t="str">
        <f>IFERROR(VLOOKUP(J24,state!A:B,2,FALSE),"")</f>
        <v/>
      </c>
    </row>
    <row r="25" spans="2:11">
      <c r="B25" t="str">
        <f>IFERROR(VLOOKUP(A25,venue!A:C,3,FALSE),"")</f>
        <v/>
      </c>
      <c r="C25" t="str">
        <f>IFERROR(VLOOKUP(A25,venue!A:B,2,FALSE),"")</f>
        <v/>
      </c>
      <c r="E25" t="str">
        <f>IFERROR(VLOOKUP(D25,type!A:B,2,FALSE),"")</f>
        <v/>
      </c>
      <c r="G25" t="str">
        <f>IFERROR(VLOOKUP(F25,color!A:B,2,FALSE),"")</f>
        <v/>
      </c>
      <c r="K25" t="str">
        <f>IFERROR(VLOOKUP(J25,state!A:B,2,FALSE),"")</f>
        <v/>
      </c>
    </row>
    <row r="26" spans="2:11">
      <c r="B26" t="str">
        <f>IFERROR(VLOOKUP(A26,venue!A:C,3,FALSE),"")</f>
        <v/>
      </c>
      <c r="C26" t="str">
        <f>IFERROR(VLOOKUP(A26,venue!A:B,2,FALSE),"")</f>
        <v/>
      </c>
      <c r="E26" t="str">
        <f>IFERROR(VLOOKUP(D26,type!A:B,2,FALSE),"")</f>
        <v/>
      </c>
      <c r="G26" t="str">
        <f>IFERROR(VLOOKUP(F26,color!A:B,2,FALSE),"")</f>
        <v/>
      </c>
      <c r="K26" t="str">
        <f>IFERROR(VLOOKUP(J26,state!A:B,2,FALSE),"")</f>
        <v/>
      </c>
    </row>
    <row r="27" spans="2:11">
      <c r="B27" t="str">
        <f>IFERROR(VLOOKUP(A27,venue!A:C,3,FALSE),"")</f>
        <v/>
      </c>
      <c r="C27" t="str">
        <f>IFERROR(VLOOKUP(A27,venue!A:B,2,FALSE),"")</f>
        <v/>
      </c>
      <c r="E27" t="str">
        <f>IFERROR(VLOOKUP(D27,type!A:B,2,FALSE),"")</f>
        <v/>
      </c>
      <c r="G27" t="str">
        <f>IFERROR(VLOOKUP(F27,color!A:B,2,FALSE),"")</f>
        <v/>
      </c>
      <c r="K27" t="str">
        <f>IFERROR(VLOOKUP(J27,state!A:B,2,FALSE),"")</f>
        <v/>
      </c>
    </row>
    <row r="28" spans="2:11">
      <c r="B28" t="str">
        <f>IFERROR(VLOOKUP(A28,venue!A:C,3,FALSE),"")</f>
        <v/>
      </c>
      <c r="C28" t="str">
        <f>IFERROR(VLOOKUP(A28,venue!A:B,2,FALSE),"")</f>
        <v/>
      </c>
      <c r="E28" t="str">
        <f>IFERROR(VLOOKUP(D28,type!A:B,2,FALSE),"")</f>
        <v/>
      </c>
      <c r="G28" t="str">
        <f>IFERROR(VLOOKUP(F28,color!A:B,2,FALSE),"")</f>
        <v/>
      </c>
      <c r="K28" t="str">
        <f>IFERROR(VLOOKUP(J28,state!A:B,2,FALSE),"")</f>
        <v/>
      </c>
    </row>
    <row r="29" spans="2:11">
      <c r="B29" t="str">
        <f>IFERROR(VLOOKUP(A29,venue!A:C,3,FALSE),"")</f>
        <v/>
      </c>
      <c r="C29" t="str">
        <f>IFERROR(VLOOKUP(A29,venue!A:B,2,FALSE),"")</f>
        <v/>
      </c>
      <c r="E29" t="str">
        <f>IFERROR(VLOOKUP(D29,type!A:B,2,FALSE),"")</f>
        <v/>
      </c>
      <c r="G29" t="str">
        <f>IFERROR(VLOOKUP(F29,color!A:B,2,FALSE),"")</f>
        <v/>
      </c>
      <c r="K29" t="str">
        <f>IFERROR(VLOOKUP(J29,state!A:B,2,FALSE),"")</f>
        <v/>
      </c>
    </row>
    <row r="30" spans="2:11">
      <c r="B30" t="str">
        <f>IFERROR(VLOOKUP(A30,venue!A:C,3,FALSE),"")</f>
        <v/>
      </c>
      <c r="C30" t="str">
        <f>IFERROR(VLOOKUP(A30,venue!A:B,2,FALSE),"")</f>
        <v/>
      </c>
      <c r="E30" t="str">
        <f>IFERROR(VLOOKUP(D30,type!A:B,2,FALSE),"")</f>
        <v/>
      </c>
      <c r="G30" t="str">
        <f>IFERROR(VLOOKUP(F30,color!A:B,2,FALSE),"")</f>
        <v/>
      </c>
      <c r="K30" t="str">
        <f>IFERROR(VLOOKUP(J30,state!A:B,2,FALSE),"")</f>
        <v/>
      </c>
    </row>
    <row r="31" spans="2:11">
      <c r="B31" t="str">
        <f>IFERROR(VLOOKUP(A31,venue!A:C,3,FALSE),"")</f>
        <v/>
      </c>
      <c r="C31" t="str">
        <f>IFERROR(VLOOKUP(A31,venue!A:B,2,FALSE),"")</f>
        <v/>
      </c>
      <c r="E31" t="str">
        <f>IFERROR(VLOOKUP(D31,type!A:B,2,FALSE),"")</f>
        <v/>
      </c>
      <c r="G31" t="str">
        <f>IFERROR(VLOOKUP(F31,color!A:B,2,FALSE),"")</f>
        <v/>
      </c>
      <c r="K31" t="str">
        <f>IFERROR(VLOOKUP(J31,state!A:B,2,FALSE),"")</f>
        <v/>
      </c>
    </row>
    <row r="32" spans="2:11">
      <c r="B32" t="str">
        <f>IFERROR(VLOOKUP(A32,venue!A:C,3,FALSE),"")</f>
        <v/>
      </c>
      <c r="C32" t="str">
        <f>IFERROR(VLOOKUP(A32,venue!A:B,2,FALSE),"")</f>
        <v/>
      </c>
      <c r="E32" t="str">
        <f>IFERROR(VLOOKUP(D32,type!A:B,2,FALSE),"")</f>
        <v/>
      </c>
      <c r="G32" t="str">
        <f>IFERROR(VLOOKUP(F32,color!A:B,2,FALSE),"")</f>
        <v/>
      </c>
      <c r="K32" t="str">
        <f>IFERROR(VLOOKUP(J32,state!A:B,2,FALSE),"")</f>
        <v/>
      </c>
    </row>
    <row r="33" spans="2:11">
      <c r="B33" t="str">
        <f>IFERROR(VLOOKUP(A33,venue!A:C,3,FALSE),"")</f>
        <v/>
      </c>
      <c r="C33" t="str">
        <f>IFERROR(VLOOKUP(A33,venue!A:B,2,FALSE),"")</f>
        <v/>
      </c>
      <c r="E33" t="str">
        <f>IFERROR(VLOOKUP(D33,type!A:B,2,FALSE),"")</f>
        <v/>
      </c>
      <c r="G33" t="str">
        <f>IFERROR(VLOOKUP(F33,color!A:B,2,FALSE),"")</f>
        <v/>
      </c>
      <c r="K33" t="str">
        <f>IFERROR(VLOOKUP(J33,state!A:B,2,FALSE),"")</f>
        <v/>
      </c>
    </row>
    <row r="34" spans="2:11">
      <c r="B34" t="str">
        <f>IFERROR(VLOOKUP(A34,venue!A:C,3,FALSE),"")</f>
        <v/>
      </c>
      <c r="C34" t="str">
        <f>IFERROR(VLOOKUP(A34,venue!A:B,2,FALSE),"")</f>
        <v/>
      </c>
      <c r="E34" t="str">
        <f>IFERROR(VLOOKUP(D34,type!A:B,2,FALSE),"")</f>
        <v/>
      </c>
      <c r="G34" t="str">
        <f>IFERROR(VLOOKUP(F34,color!A:B,2,FALSE),"")</f>
        <v/>
      </c>
      <c r="K34" t="str">
        <f>IFERROR(VLOOKUP(J34,state!A:B,2,FALSE),"")</f>
        <v/>
      </c>
    </row>
    <row r="35" spans="2:11">
      <c r="B35" t="str">
        <f>IFERROR(VLOOKUP(A35,venue!A:C,3,FALSE),"")</f>
        <v/>
      </c>
      <c r="C35" t="str">
        <f>IFERROR(VLOOKUP(A35,venue!A:B,2,FALSE),"")</f>
        <v/>
      </c>
      <c r="E35" t="str">
        <f>IFERROR(VLOOKUP(D35,type!A:B,2,FALSE),"")</f>
        <v/>
      </c>
      <c r="G35" t="str">
        <f>IFERROR(VLOOKUP(F35,color!A:B,2,FALSE),"")</f>
        <v/>
      </c>
      <c r="K35" t="str">
        <f>IFERROR(VLOOKUP(J35,state!A:B,2,FALSE),"")</f>
        <v/>
      </c>
    </row>
    <row r="36" spans="2:11">
      <c r="B36" t="str">
        <f>IFERROR(VLOOKUP(A36,venue!A:C,3,FALSE),"")</f>
        <v/>
      </c>
      <c r="C36" t="str">
        <f>IFERROR(VLOOKUP(A36,venue!A:B,2,FALSE),"")</f>
        <v/>
      </c>
      <c r="E36" t="str">
        <f>IFERROR(VLOOKUP(D36,type!A:B,2,FALSE),"")</f>
        <v/>
      </c>
      <c r="G36" t="str">
        <f>IFERROR(VLOOKUP(F36,color!A:B,2,FALSE),"")</f>
        <v/>
      </c>
      <c r="K36" t="str">
        <f>IFERROR(VLOOKUP(J36,state!A:B,2,FALSE),"")</f>
        <v/>
      </c>
    </row>
    <row r="37" spans="2:11">
      <c r="B37" t="str">
        <f>IFERROR(VLOOKUP(A37,venue!A:C,3,FALSE),"")</f>
        <v/>
      </c>
      <c r="C37" t="str">
        <f>IFERROR(VLOOKUP(A37,venue!A:B,2,FALSE),"")</f>
        <v/>
      </c>
      <c r="E37" t="str">
        <f>IFERROR(VLOOKUP(D37,type!A:B,2,FALSE),"")</f>
        <v/>
      </c>
      <c r="G37" t="str">
        <f>IFERROR(VLOOKUP(F37,color!A:B,2,FALSE),"")</f>
        <v/>
      </c>
      <c r="K37" t="str">
        <f>IFERROR(VLOOKUP(J37,state!A:B,2,FALSE),"")</f>
        <v/>
      </c>
    </row>
    <row r="38" spans="2:11">
      <c r="B38" t="str">
        <f>IFERROR(VLOOKUP(A38,venue!A:C,3,FALSE),"")</f>
        <v/>
      </c>
      <c r="C38" t="str">
        <f>IFERROR(VLOOKUP(A38,venue!A:B,2,FALSE),"")</f>
        <v/>
      </c>
      <c r="E38" t="str">
        <f>IFERROR(VLOOKUP(D38,type!A:B,2,FALSE),"")</f>
        <v/>
      </c>
      <c r="G38" t="str">
        <f>IFERROR(VLOOKUP(F38,color!A:B,2,FALSE),"")</f>
        <v/>
      </c>
      <c r="K38" t="str">
        <f>IFERROR(VLOOKUP(J38,state!A:B,2,FALSE),"")</f>
        <v/>
      </c>
    </row>
    <row r="39" spans="2:11">
      <c r="B39" t="str">
        <f>IFERROR(VLOOKUP(A39,venue!A:C,3,FALSE),"")</f>
        <v/>
      </c>
      <c r="C39" t="str">
        <f>IFERROR(VLOOKUP(A39,venue!A:B,2,FALSE),"")</f>
        <v/>
      </c>
      <c r="E39" t="str">
        <f>IFERROR(VLOOKUP(D39,type!A:B,2,FALSE),"")</f>
        <v/>
      </c>
      <c r="G39" t="str">
        <f>IFERROR(VLOOKUP(F39,color!A:B,2,FALSE),"")</f>
        <v/>
      </c>
      <c r="K39" t="str">
        <f>IFERROR(VLOOKUP(J39,state!A:B,2,FALSE),"")</f>
        <v/>
      </c>
    </row>
    <row r="40" spans="2:11">
      <c r="B40" t="str">
        <f>IFERROR(VLOOKUP(A40,venue!A:C,3,FALSE),"")</f>
        <v/>
      </c>
      <c r="C40" t="str">
        <f>IFERROR(VLOOKUP(A40,venue!A:B,2,FALSE),"")</f>
        <v/>
      </c>
      <c r="E40" t="str">
        <f>IFERROR(VLOOKUP(D40,type!A:B,2,FALSE),"")</f>
        <v/>
      </c>
      <c r="G40" t="str">
        <f>IFERROR(VLOOKUP(F40,color!A:B,2,FALSE),"")</f>
        <v/>
      </c>
      <c r="K40" t="str">
        <f>IFERROR(VLOOKUP(J40,state!A:B,2,FALSE),"")</f>
        <v/>
      </c>
    </row>
    <row r="41" spans="2:11">
      <c r="B41" t="str">
        <f>IFERROR(VLOOKUP(A41,venue!A:C,3,FALSE),"")</f>
        <v/>
      </c>
      <c r="C41" t="str">
        <f>IFERROR(VLOOKUP(A41,venue!A:B,2,FALSE),"")</f>
        <v/>
      </c>
      <c r="E41" t="str">
        <f>IFERROR(VLOOKUP(D41,type!A:B,2,FALSE),"")</f>
        <v/>
      </c>
      <c r="G41" t="str">
        <f>IFERROR(VLOOKUP(F41,color!A:B,2,FALSE),"")</f>
        <v/>
      </c>
      <c r="K41" t="str">
        <f>IFERROR(VLOOKUP(J41,state!A:B,2,FALSE),"")</f>
        <v/>
      </c>
    </row>
    <row r="42" spans="2:11">
      <c r="B42" t="str">
        <f>IFERROR(VLOOKUP(A42,venue!A:C,3,FALSE),"")</f>
        <v/>
      </c>
      <c r="C42" t="str">
        <f>IFERROR(VLOOKUP(A42,venue!A:B,2,FALSE),"")</f>
        <v/>
      </c>
      <c r="E42" t="str">
        <f>IFERROR(VLOOKUP(D42,type!A:B,2,FALSE),"")</f>
        <v/>
      </c>
      <c r="G42" t="str">
        <f>IFERROR(VLOOKUP(F42,color!A:B,2,FALSE),"")</f>
        <v/>
      </c>
      <c r="K42" t="str">
        <f>IFERROR(VLOOKUP(J42,state!A:B,2,FALSE),"")</f>
        <v/>
      </c>
    </row>
    <row r="43" spans="2:11">
      <c r="B43" t="str">
        <f>IFERROR(VLOOKUP(A43,venue!A:C,3,FALSE),"")</f>
        <v/>
      </c>
      <c r="C43" t="str">
        <f>IFERROR(VLOOKUP(A43,venue!A:B,2,FALSE),"")</f>
        <v/>
      </c>
      <c r="E43" t="str">
        <f>IFERROR(VLOOKUP(D43,type!A:B,2,FALSE),"")</f>
        <v/>
      </c>
      <c r="G43" t="str">
        <f>IFERROR(VLOOKUP(F43,color!A:B,2,FALSE),"")</f>
        <v/>
      </c>
      <c r="K43" t="str">
        <f>IFERROR(VLOOKUP(J43,state!A:B,2,FALSE),"")</f>
        <v/>
      </c>
    </row>
    <row r="44" spans="2:11">
      <c r="B44" t="str">
        <f>IFERROR(VLOOKUP(A44,venue!A:C,3,FALSE),"")</f>
        <v/>
      </c>
      <c r="C44" t="str">
        <f>IFERROR(VLOOKUP(A44,venue!A:B,2,FALSE),"")</f>
        <v/>
      </c>
      <c r="E44" t="str">
        <f>IFERROR(VLOOKUP(D44,type!A:B,2,FALSE),"")</f>
        <v/>
      </c>
      <c r="G44" t="str">
        <f>IFERROR(VLOOKUP(F44,color!A:B,2,FALSE),"")</f>
        <v/>
      </c>
      <c r="K44" t="str">
        <f>IFERROR(VLOOKUP(J44,state!A:B,2,FALSE),"")</f>
        <v/>
      </c>
    </row>
    <row r="45" spans="2:11">
      <c r="B45" t="str">
        <f>IFERROR(VLOOKUP(A45,venue!A:C,3,FALSE),"")</f>
        <v/>
      </c>
      <c r="C45" t="str">
        <f>IFERROR(VLOOKUP(A45,venue!A:B,2,FALSE),"")</f>
        <v/>
      </c>
      <c r="E45" t="str">
        <f>IFERROR(VLOOKUP(D45,type!A:B,2,FALSE),"")</f>
        <v/>
      </c>
      <c r="G45" t="str">
        <f>IFERROR(VLOOKUP(F45,color!A:B,2,FALSE),"")</f>
        <v/>
      </c>
      <c r="K45" t="str">
        <f>IFERROR(VLOOKUP(J45,state!A:B,2,FALSE),"")</f>
        <v/>
      </c>
    </row>
    <row r="46" spans="2:11">
      <c r="B46" t="str">
        <f>IFERROR(VLOOKUP(A46,venue!A:C,3,FALSE),"")</f>
        <v/>
      </c>
      <c r="C46" t="str">
        <f>IFERROR(VLOOKUP(A46,venue!A:B,2,FALSE),"")</f>
        <v/>
      </c>
      <c r="E46" t="str">
        <f>IFERROR(VLOOKUP(D46,type!A:B,2,FALSE),"")</f>
        <v/>
      </c>
      <c r="G46" t="str">
        <f>IFERROR(VLOOKUP(F46,color!A:B,2,FALSE),"")</f>
        <v/>
      </c>
      <c r="K46" t="str">
        <f>IFERROR(VLOOKUP(J46,state!A:B,2,FALSE),"")</f>
        <v/>
      </c>
    </row>
    <row r="47" spans="2:11">
      <c r="B47" t="str">
        <f>IFERROR(VLOOKUP(A47,venue!A:C,3,FALSE),"")</f>
        <v/>
      </c>
      <c r="C47" t="str">
        <f>IFERROR(VLOOKUP(A47,venue!A:B,2,FALSE),"")</f>
        <v/>
      </c>
      <c r="E47" t="str">
        <f>IFERROR(VLOOKUP(D47,type!A:B,2,FALSE),"")</f>
        <v/>
      </c>
      <c r="G47" t="str">
        <f>IFERROR(VLOOKUP(F47,color!A:B,2,FALSE),"")</f>
        <v/>
      </c>
      <c r="K47" t="str">
        <f>IFERROR(VLOOKUP(J47,state!A:B,2,FALSE),"")</f>
        <v/>
      </c>
    </row>
    <row r="48" spans="2:11">
      <c r="B48" t="str">
        <f>IFERROR(VLOOKUP(A48,venue!A:C,3,FALSE),"")</f>
        <v/>
      </c>
      <c r="C48" t="str">
        <f>IFERROR(VLOOKUP(A48,venue!A:B,2,FALSE),"")</f>
        <v/>
      </c>
      <c r="E48" t="str">
        <f>IFERROR(VLOOKUP(D48,type!A:B,2,FALSE),"")</f>
        <v/>
      </c>
      <c r="G48" t="str">
        <f>IFERROR(VLOOKUP(F48,color!A:B,2,FALSE),"")</f>
        <v/>
      </c>
      <c r="K48" t="str">
        <f>IFERROR(VLOOKUP(J48,state!A:B,2,FALSE),"")</f>
        <v/>
      </c>
    </row>
    <row r="49" spans="2:11">
      <c r="B49" t="str">
        <f>IFERROR(VLOOKUP(A49,venue!A:C,3,FALSE),"")</f>
        <v/>
      </c>
      <c r="C49" t="str">
        <f>IFERROR(VLOOKUP(A49,venue!A:B,2,FALSE),"")</f>
        <v/>
      </c>
      <c r="E49" t="str">
        <f>IFERROR(VLOOKUP(D49,type!A:B,2,FALSE),"")</f>
        <v/>
      </c>
      <c r="G49" t="str">
        <f>IFERROR(VLOOKUP(F49,color!A:B,2,FALSE),"")</f>
        <v/>
      </c>
      <c r="K49" t="str">
        <f>IFERROR(VLOOKUP(J49,state!A:B,2,FALSE),"")</f>
        <v/>
      </c>
    </row>
    <row r="50" spans="2:11">
      <c r="B50" t="str">
        <f>IFERROR(VLOOKUP(A50,venue!A:C,3,FALSE),"")</f>
        <v/>
      </c>
      <c r="C50" t="str">
        <f>IFERROR(VLOOKUP(A50,venue!A:B,2,FALSE),"")</f>
        <v/>
      </c>
      <c r="E50" t="str">
        <f>IFERROR(VLOOKUP(D50,type!A:B,2,FALSE),"")</f>
        <v/>
      </c>
      <c r="G50" t="str">
        <f>IFERROR(VLOOKUP(F50,color!A:B,2,FALSE),"")</f>
        <v/>
      </c>
      <c r="K50" t="str">
        <f>IFERROR(VLOOKUP(J50,state!A:B,2,FALSE),"")</f>
        <v/>
      </c>
    </row>
    <row r="51" spans="2:11">
      <c r="B51" t="str">
        <f>IFERROR(VLOOKUP(A51,venue!A:C,3,FALSE),"")</f>
        <v/>
      </c>
      <c r="C51" t="str">
        <f>IFERROR(VLOOKUP(A51,venue!A:B,2,FALSE),"")</f>
        <v/>
      </c>
      <c r="E51" t="str">
        <f>IFERROR(VLOOKUP(D51,type!A:B,2,FALSE),"")</f>
        <v/>
      </c>
      <c r="G51" t="str">
        <f>IFERROR(VLOOKUP(F51,color!A:B,2,FALSE),"")</f>
        <v/>
      </c>
      <c r="K51" t="str">
        <f>IFERROR(VLOOKUP(J51,state!A:B,2,FALSE),"")</f>
        <v/>
      </c>
    </row>
    <row r="52" spans="2:11">
      <c r="B52" t="str">
        <f>IFERROR(VLOOKUP(A52,venue!A:C,3,FALSE),"")</f>
        <v/>
      </c>
      <c r="C52" t="str">
        <f>IFERROR(VLOOKUP(A52,venue!A:B,2,FALSE),"")</f>
        <v/>
      </c>
      <c r="E52" t="str">
        <f>IFERROR(VLOOKUP(D52,type!A:B,2,FALSE),"")</f>
        <v/>
      </c>
      <c r="G52" t="str">
        <f>IFERROR(VLOOKUP(F52,color!A:B,2,FALSE),"")</f>
        <v/>
      </c>
      <c r="K52" t="str">
        <f>IFERROR(VLOOKUP(J52,state!A:B,2,FALSE),"")</f>
        <v/>
      </c>
    </row>
    <row r="53" spans="2:11">
      <c r="B53" t="str">
        <f>IFERROR(VLOOKUP(A53,venue!A:C,3,FALSE),"")</f>
        <v/>
      </c>
      <c r="C53" t="str">
        <f>IFERROR(VLOOKUP(A53,venue!A:B,2,FALSE),"")</f>
        <v/>
      </c>
      <c r="E53" t="str">
        <f>IFERROR(VLOOKUP(D53,type!A:B,2,FALSE),"")</f>
        <v/>
      </c>
      <c r="G53" t="str">
        <f>IFERROR(VLOOKUP(F53,color!A:B,2,FALSE),"")</f>
        <v/>
      </c>
      <c r="K53" t="str">
        <f>IFERROR(VLOOKUP(J53,state!A:B,2,FALSE),"")</f>
        <v/>
      </c>
    </row>
    <row r="54" spans="2:11">
      <c r="B54" t="str">
        <f>IFERROR(VLOOKUP(A54,venue!A:C,3,FALSE),"")</f>
        <v/>
      </c>
      <c r="C54" t="str">
        <f>IFERROR(VLOOKUP(A54,venue!A:B,2,FALSE),"")</f>
        <v/>
      </c>
      <c r="E54" t="str">
        <f>IFERROR(VLOOKUP(D54,type!A:B,2,FALSE),"")</f>
        <v/>
      </c>
      <c r="G54" t="str">
        <f>IFERROR(VLOOKUP(F54,color!A:B,2,FALSE),"")</f>
        <v/>
      </c>
      <c r="K54" t="str">
        <f>IFERROR(VLOOKUP(J54,state!A:B,2,FALSE),"")</f>
        <v/>
      </c>
    </row>
    <row r="55" spans="2:11">
      <c r="B55" t="str">
        <f>IFERROR(VLOOKUP(A55,venue!A:C,3,FALSE),"")</f>
        <v/>
      </c>
      <c r="C55" t="str">
        <f>IFERROR(VLOOKUP(A55,venue!A:B,2,FALSE),"")</f>
        <v/>
      </c>
      <c r="E55" t="str">
        <f>IFERROR(VLOOKUP(D55,type!A:B,2,FALSE),"")</f>
        <v/>
      </c>
      <c r="G55" t="str">
        <f>IFERROR(VLOOKUP(F55,color!A:B,2,FALSE),"")</f>
        <v/>
      </c>
      <c r="K55" t="str">
        <f>IFERROR(VLOOKUP(J55,state!A:B,2,FALSE),"")</f>
        <v/>
      </c>
    </row>
    <row r="56" spans="2:11">
      <c r="B56" t="str">
        <f>IFERROR(VLOOKUP(A56,venue!A:C,3,FALSE),"")</f>
        <v/>
      </c>
      <c r="C56" t="str">
        <f>IFERROR(VLOOKUP(A56,venue!A:B,2,FALSE),"")</f>
        <v/>
      </c>
      <c r="E56" t="str">
        <f>IFERROR(VLOOKUP(D56,type!A:B,2,FALSE),"")</f>
        <v/>
      </c>
      <c r="G56" t="str">
        <f>IFERROR(VLOOKUP(F56,color!A:B,2,FALSE),"")</f>
        <v/>
      </c>
      <c r="K56" t="str">
        <f>IFERROR(VLOOKUP(J56,state!A:B,2,FALSE),"")</f>
        <v/>
      </c>
    </row>
    <row r="57" spans="2:11">
      <c r="B57" t="str">
        <f>IFERROR(VLOOKUP(A57,venue!A:C,3,FALSE),"")</f>
        <v/>
      </c>
      <c r="C57" t="str">
        <f>IFERROR(VLOOKUP(A57,venue!A:B,2,FALSE),"")</f>
        <v/>
      </c>
      <c r="E57" t="str">
        <f>IFERROR(VLOOKUP(D57,type!A:B,2,FALSE),"")</f>
        <v/>
      </c>
      <c r="G57" t="str">
        <f>IFERROR(VLOOKUP(F57,color!A:B,2,FALSE),"")</f>
        <v/>
      </c>
      <c r="K57" t="str">
        <f>IFERROR(VLOOKUP(J57,state!A:B,2,FALSE),"")</f>
        <v/>
      </c>
    </row>
    <row r="58" spans="2:11">
      <c r="B58" t="str">
        <f>IFERROR(VLOOKUP(A58,venue!A:C,3,FALSE),"")</f>
        <v/>
      </c>
      <c r="C58" t="str">
        <f>IFERROR(VLOOKUP(A58,venue!A:B,2,FALSE),"")</f>
        <v/>
      </c>
      <c r="E58" t="str">
        <f>IFERROR(VLOOKUP(D58,type!A:B,2,FALSE),"")</f>
        <v/>
      </c>
      <c r="G58" t="str">
        <f>IFERROR(VLOOKUP(F58,color!A:B,2,FALSE),"")</f>
        <v/>
      </c>
      <c r="K58" t="str">
        <f>IFERROR(VLOOKUP(J58,state!A:B,2,FALSE),"")</f>
        <v/>
      </c>
    </row>
    <row r="59" spans="2:11">
      <c r="B59" t="str">
        <f>IFERROR(VLOOKUP(A59,venue!A:C,3,FALSE),"")</f>
        <v/>
      </c>
      <c r="C59" t="str">
        <f>IFERROR(VLOOKUP(A59,venue!A:B,2,FALSE),"")</f>
        <v/>
      </c>
      <c r="E59" t="str">
        <f>IFERROR(VLOOKUP(D59,type!A:B,2,FALSE),"")</f>
        <v/>
      </c>
      <c r="G59" t="str">
        <f>IFERROR(VLOOKUP(F59,color!A:B,2,FALSE),"")</f>
        <v/>
      </c>
      <c r="K59" t="str">
        <f>IFERROR(VLOOKUP(J59,state!A:B,2,FALSE),"")</f>
        <v/>
      </c>
    </row>
  </sheetData>
  <sheetProtection algorithmName="SHA-512" hashValue="c80Wkli/ZazN7IK51E/8LgTXPF+Hu8C1/7AmI5UELq3KJEpnZFZNGETLrbFS3U7iU7mFpgB4kqnm2B0mu0aloA==" saltValue="t7pZsr8COwoFKTC7OQhdng==" spinCount="100000" sheet="1" objects="1"/>
  <dataValidations count="4">
    <dataValidation type="list" allowBlank="1" showInputMessage="1" showErrorMessage="1" sqref="A2:A59">
      <formula1>venue!$A$1:$A$276</formula1>
    </dataValidation>
    <dataValidation type="list" allowBlank="1" showInputMessage="1" showErrorMessage="1" sqref="D2:D59">
      <formula1>type!$A$1:$A$6</formula1>
    </dataValidation>
    <dataValidation type="list" allowBlank="1" showInputMessage="1" showErrorMessage="1" sqref="F2:F59">
      <formula1>color!$A$1:$A$3</formula1>
    </dataValidation>
    <dataValidation type="list" allowBlank="1" showInputMessage="1" showErrorMessage="1" sqref="J2:J59">
      <formula1>state!$A$1:$A$3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276"/>
  <sheetViews>
    <sheetView workbookViewId="0">
      <selection activeCell="F16" sqref="F16"/>
    </sheetView>
  </sheetViews>
  <sheetFormatPr defaultColWidth="8.88888888888889" defaultRowHeight="14.4" outlineLevelCol="2"/>
  <cols>
    <col min="2" max="2" width="9.66666666666667"/>
  </cols>
  <sheetData>
    <row r="1" spans="1:3">
      <c r="A1" s="2" t="s">
        <v>14</v>
      </c>
      <c r="B1" s="1">
        <v>10000001</v>
      </c>
      <c r="C1" s="2" t="s">
        <v>15</v>
      </c>
    </row>
    <row r="2" spans="1:3">
      <c r="A2" s="2" t="s">
        <v>16</v>
      </c>
      <c r="B2" s="1">
        <v>10000002</v>
      </c>
      <c r="C2" s="2" t="s">
        <v>17</v>
      </c>
    </row>
    <row r="3" spans="1:3">
      <c r="A3" s="2" t="s">
        <v>18</v>
      </c>
      <c r="B3" s="1">
        <v>10000003</v>
      </c>
      <c r="C3" s="2" t="s">
        <v>19</v>
      </c>
    </row>
    <row r="4" spans="1:3">
      <c r="A4" s="2" t="s">
        <v>20</v>
      </c>
      <c r="B4" s="1">
        <v>10000004</v>
      </c>
      <c r="C4" s="2" t="s">
        <v>21</v>
      </c>
    </row>
    <row r="5" spans="1:3">
      <c r="A5" s="2" t="s">
        <v>22</v>
      </c>
      <c r="B5" s="1">
        <v>10000005</v>
      </c>
      <c r="C5" s="2" t="s">
        <v>23</v>
      </c>
    </row>
    <row r="6" spans="1:3">
      <c r="A6" s="2" t="s">
        <v>24</v>
      </c>
      <c r="B6" s="1">
        <v>10000006</v>
      </c>
      <c r="C6" s="2" t="s">
        <v>25</v>
      </c>
    </row>
    <row r="7" spans="1:3">
      <c r="A7" s="2" t="s">
        <v>26</v>
      </c>
      <c r="B7" s="1">
        <v>10000007</v>
      </c>
      <c r="C7" s="2" t="s">
        <v>27</v>
      </c>
    </row>
    <row r="8" spans="1:3">
      <c r="A8" s="2" t="s">
        <v>28</v>
      </c>
      <c r="B8" s="1">
        <v>10000008</v>
      </c>
      <c r="C8" s="2" t="s">
        <v>29</v>
      </c>
    </row>
    <row r="9" spans="1:3">
      <c r="A9" s="2" t="s">
        <v>30</v>
      </c>
      <c r="B9" s="1">
        <v>10000009</v>
      </c>
      <c r="C9" s="2" t="s">
        <v>31</v>
      </c>
    </row>
    <row r="10" spans="1:3">
      <c r="A10" s="2" t="s">
        <v>32</v>
      </c>
      <c r="B10" s="1">
        <v>10000010</v>
      </c>
      <c r="C10" s="2" t="s">
        <v>33</v>
      </c>
    </row>
    <row r="11" spans="1:3">
      <c r="A11" s="2" t="s">
        <v>34</v>
      </c>
      <c r="B11" s="1">
        <v>10000011</v>
      </c>
      <c r="C11" s="2" t="s">
        <v>35</v>
      </c>
    </row>
    <row r="12" spans="1:3">
      <c r="A12" s="2" t="s">
        <v>36</v>
      </c>
      <c r="B12" s="1">
        <v>10000012</v>
      </c>
      <c r="C12" s="2" t="s">
        <v>37</v>
      </c>
    </row>
    <row r="13" spans="1:3">
      <c r="A13" s="2" t="s">
        <v>38</v>
      </c>
      <c r="B13" s="1">
        <v>10000013</v>
      </c>
      <c r="C13" s="2" t="s">
        <v>35</v>
      </c>
    </row>
    <row r="14" spans="1:3">
      <c r="A14" s="2" t="s">
        <v>39</v>
      </c>
      <c r="B14" s="1">
        <v>10000014</v>
      </c>
      <c r="C14" s="2" t="s">
        <v>40</v>
      </c>
    </row>
    <row r="15" spans="1:3">
      <c r="A15" s="2" t="s">
        <v>41</v>
      </c>
      <c r="B15" s="1">
        <v>10000015</v>
      </c>
      <c r="C15" s="2" t="s">
        <v>42</v>
      </c>
    </row>
    <row r="16" spans="1:3">
      <c r="A16" s="2" t="s">
        <v>43</v>
      </c>
      <c r="B16" s="1">
        <v>10000016</v>
      </c>
      <c r="C16" s="2" t="s">
        <v>44</v>
      </c>
    </row>
    <row r="17" spans="1:3">
      <c r="A17" s="2" t="s">
        <v>45</v>
      </c>
      <c r="B17" s="1">
        <v>10000017</v>
      </c>
      <c r="C17" s="2" t="s">
        <v>46</v>
      </c>
    </row>
    <row r="18" spans="1:3">
      <c r="A18" s="2" t="s">
        <v>47</v>
      </c>
      <c r="B18" s="1">
        <v>10000018</v>
      </c>
      <c r="C18" s="2" t="s">
        <v>44</v>
      </c>
    </row>
    <row r="19" spans="1:3">
      <c r="A19" s="2" t="s">
        <v>48</v>
      </c>
      <c r="B19" s="1">
        <v>10000019</v>
      </c>
      <c r="C19" s="2" t="s">
        <v>49</v>
      </c>
    </row>
    <row r="20" spans="1:3">
      <c r="A20" s="2" t="s">
        <v>50</v>
      </c>
      <c r="B20" s="1">
        <v>10000020</v>
      </c>
      <c r="C20" s="2" t="s">
        <v>51</v>
      </c>
    </row>
    <row r="21" spans="1:3">
      <c r="A21" s="2" t="s">
        <v>52</v>
      </c>
      <c r="B21" s="1">
        <v>10000021</v>
      </c>
      <c r="C21" s="2" t="s">
        <v>53</v>
      </c>
    </row>
    <row r="22" spans="1:3">
      <c r="A22" s="2" t="s">
        <v>54</v>
      </c>
      <c r="B22" s="1">
        <v>10000022</v>
      </c>
      <c r="C22" s="2" t="s">
        <v>55</v>
      </c>
    </row>
    <row r="23" spans="1:3">
      <c r="A23" s="2" t="s">
        <v>56</v>
      </c>
      <c r="B23" s="1">
        <v>10000023</v>
      </c>
      <c r="C23" s="2" t="s">
        <v>57</v>
      </c>
    </row>
    <row r="24" spans="1:3">
      <c r="A24" s="2" t="s">
        <v>58</v>
      </c>
      <c r="B24" s="1">
        <v>10000024</v>
      </c>
      <c r="C24" s="2" t="s">
        <v>59</v>
      </c>
    </row>
    <row r="25" spans="1:3">
      <c r="A25" s="2" t="s">
        <v>60</v>
      </c>
      <c r="B25" s="1">
        <v>10000025</v>
      </c>
      <c r="C25" s="2" t="s">
        <v>61</v>
      </c>
    </row>
    <row r="26" spans="1:3">
      <c r="A26" s="2" t="s">
        <v>62</v>
      </c>
      <c r="B26" s="1">
        <v>10000026</v>
      </c>
      <c r="C26" s="2" t="s">
        <v>63</v>
      </c>
    </row>
    <row r="27" spans="1:3">
      <c r="A27" s="2" t="s">
        <v>64</v>
      </c>
      <c r="B27" s="1">
        <v>10000027</v>
      </c>
      <c r="C27" s="2" t="s">
        <v>65</v>
      </c>
    </row>
    <row r="28" spans="1:3">
      <c r="A28" s="2" t="s">
        <v>66</v>
      </c>
      <c r="B28" s="1">
        <v>10000028</v>
      </c>
      <c r="C28" s="2" t="s">
        <v>67</v>
      </c>
    </row>
    <row r="29" spans="1:3">
      <c r="A29" s="2" t="s">
        <v>68</v>
      </c>
      <c r="B29" s="1">
        <v>10000029</v>
      </c>
      <c r="C29" s="2" t="s">
        <v>69</v>
      </c>
    </row>
    <row r="30" spans="1:3">
      <c r="A30" s="2" t="s">
        <v>70</v>
      </c>
      <c r="B30" s="1">
        <v>10000030</v>
      </c>
      <c r="C30" s="2" t="s">
        <v>71</v>
      </c>
    </row>
    <row r="31" spans="1:3">
      <c r="A31" s="2" t="s">
        <v>72</v>
      </c>
      <c r="B31" s="1">
        <v>10000031</v>
      </c>
      <c r="C31" s="2" t="s">
        <v>73</v>
      </c>
    </row>
    <row r="32" spans="1:3">
      <c r="A32" s="2" t="s">
        <v>74</v>
      </c>
      <c r="B32" s="1">
        <v>10000032</v>
      </c>
      <c r="C32" s="2" t="s">
        <v>75</v>
      </c>
    </row>
    <row r="33" spans="1:3">
      <c r="A33" s="2" t="s">
        <v>76</v>
      </c>
      <c r="B33" s="1">
        <v>10000033</v>
      </c>
      <c r="C33" s="2" t="s">
        <v>77</v>
      </c>
    </row>
    <row r="34" spans="1:3">
      <c r="A34" s="2" t="s">
        <v>78</v>
      </c>
      <c r="B34" s="1">
        <v>10000034</v>
      </c>
      <c r="C34" s="2" t="s">
        <v>55</v>
      </c>
    </row>
    <row r="35" spans="1:3">
      <c r="A35" s="2" t="s">
        <v>79</v>
      </c>
      <c r="B35" s="1">
        <v>10000035</v>
      </c>
      <c r="C35" s="2" t="s">
        <v>80</v>
      </c>
    </row>
    <row r="36" spans="1:3">
      <c r="A36" s="2" t="s">
        <v>81</v>
      </c>
      <c r="B36" s="1">
        <v>10000036</v>
      </c>
      <c r="C36" s="2" t="s">
        <v>82</v>
      </c>
    </row>
    <row r="37" spans="1:3">
      <c r="A37" s="2" t="s">
        <v>83</v>
      </c>
      <c r="B37" s="1">
        <v>10000037</v>
      </c>
      <c r="C37" s="2" t="s">
        <v>84</v>
      </c>
    </row>
    <row r="38" spans="1:3">
      <c r="A38" s="2" t="s">
        <v>85</v>
      </c>
      <c r="B38" s="1">
        <v>10000038</v>
      </c>
      <c r="C38" s="2" t="s">
        <v>86</v>
      </c>
    </row>
    <row r="39" spans="1:3">
      <c r="A39" s="2" t="s">
        <v>87</v>
      </c>
      <c r="B39" s="1">
        <v>10000039</v>
      </c>
      <c r="C39" s="2" t="s">
        <v>88</v>
      </c>
    </row>
    <row r="40" spans="1:3">
      <c r="A40" s="2" t="s">
        <v>89</v>
      </c>
      <c r="B40" s="1">
        <v>10000040</v>
      </c>
      <c r="C40" s="2" t="s">
        <v>90</v>
      </c>
    </row>
    <row r="41" spans="1:3">
      <c r="A41" s="2" t="s">
        <v>91</v>
      </c>
      <c r="B41" s="1">
        <v>10000041</v>
      </c>
      <c r="C41" s="2" t="s">
        <v>92</v>
      </c>
    </row>
    <row r="42" spans="1:3">
      <c r="A42" s="2" t="s">
        <v>93</v>
      </c>
      <c r="B42" s="1">
        <v>10000042</v>
      </c>
      <c r="C42" s="2" t="s">
        <v>94</v>
      </c>
    </row>
    <row r="43" spans="1:3">
      <c r="A43" s="2" t="s">
        <v>95</v>
      </c>
      <c r="B43" s="1">
        <v>10000043</v>
      </c>
      <c r="C43" s="2" t="s">
        <v>96</v>
      </c>
    </row>
    <row r="44" spans="1:3">
      <c r="A44" s="2" t="s">
        <v>97</v>
      </c>
      <c r="B44" s="1">
        <v>10000044</v>
      </c>
      <c r="C44" s="2" t="s">
        <v>98</v>
      </c>
    </row>
    <row r="45" spans="1:3">
      <c r="A45" s="2" t="s">
        <v>99</v>
      </c>
      <c r="B45" s="1">
        <v>10000045</v>
      </c>
      <c r="C45" s="2" t="s">
        <v>100</v>
      </c>
    </row>
    <row r="46" spans="1:3">
      <c r="A46" s="2" t="s">
        <v>101</v>
      </c>
      <c r="B46" s="1">
        <v>10000046</v>
      </c>
      <c r="C46" s="2" t="s">
        <v>102</v>
      </c>
    </row>
    <row r="47" spans="1:3">
      <c r="A47" s="2" t="s">
        <v>103</v>
      </c>
      <c r="B47" s="1">
        <v>10000047</v>
      </c>
      <c r="C47" s="2" t="s">
        <v>104</v>
      </c>
    </row>
    <row r="48" spans="1:3">
      <c r="A48" s="2" t="s">
        <v>105</v>
      </c>
      <c r="B48" s="1">
        <v>10000048</v>
      </c>
      <c r="C48" s="2" t="s">
        <v>106</v>
      </c>
    </row>
    <row r="49" spans="1:3">
      <c r="A49" s="2" t="s">
        <v>107</v>
      </c>
      <c r="B49" s="1">
        <v>10000049</v>
      </c>
      <c r="C49" s="2" t="s">
        <v>108</v>
      </c>
    </row>
    <row r="50" spans="1:3">
      <c r="A50" s="2" t="s">
        <v>109</v>
      </c>
      <c r="B50" s="1">
        <v>10000050</v>
      </c>
      <c r="C50" s="2" t="s">
        <v>110</v>
      </c>
    </row>
    <row r="51" spans="1:3">
      <c r="A51" s="2" t="s">
        <v>111</v>
      </c>
      <c r="B51" s="1">
        <v>10000051</v>
      </c>
      <c r="C51" s="2" t="s">
        <v>112</v>
      </c>
    </row>
    <row r="52" spans="1:3">
      <c r="A52" s="2" t="s">
        <v>113</v>
      </c>
      <c r="B52" s="1">
        <v>10000052</v>
      </c>
      <c r="C52" s="2" t="s">
        <v>114</v>
      </c>
    </row>
    <row r="53" spans="1:3">
      <c r="A53" s="2" t="s">
        <v>115</v>
      </c>
      <c r="B53" s="1">
        <v>10000053</v>
      </c>
      <c r="C53" s="2" t="s">
        <v>116</v>
      </c>
    </row>
    <row r="54" spans="1:3">
      <c r="A54" s="2" t="s">
        <v>117</v>
      </c>
      <c r="B54" s="1">
        <v>10000054</v>
      </c>
      <c r="C54" s="2" t="s">
        <v>118</v>
      </c>
    </row>
    <row r="55" spans="1:3">
      <c r="A55" s="2" t="s">
        <v>119</v>
      </c>
      <c r="B55" s="1">
        <v>10000055</v>
      </c>
      <c r="C55" s="2" t="s">
        <v>120</v>
      </c>
    </row>
    <row r="56" spans="1:3">
      <c r="A56" s="2" t="s">
        <v>121</v>
      </c>
      <c r="B56" s="1">
        <v>10000056</v>
      </c>
      <c r="C56" s="2" t="s">
        <v>122</v>
      </c>
    </row>
    <row r="57" spans="1:3">
      <c r="A57" s="2" t="s">
        <v>123</v>
      </c>
      <c r="B57" s="1">
        <v>10000057</v>
      </c>
      <c r="C57" s="2" t="s">
        <v>124</v>
      </c>
    </row>
    <row r="58" spans="1:3">
      <c r="A58" s="2" t="s">
        <v>125</v>
      </c>
      <c r="B58" s="1">
        <v>10000058</v>
      </c>
      <c r="C58" s="2" t="s">
        <v>126</v>
      </c>
    </row>
    <row r="59" spans="1:3">
      <c r="A59" s="2" t="s">
        <v>127</v>
      </c>
      <c r="B59" s="1">
        <v>10000059</v>
      </c>
      <c r="C59" s="2" t="s">
        <v>128</v>
      </c>
    </row>
    <row r="60" spans="1:3">
      <c r="A60" s="2" t="s">
        <v>129</v>
      </c>
      <c r="B60" s="1">
        <v>10000060</v>
      </c>
      <c r="C60" s="2" t="s">
        <v>130</v>
      </c>
    </row>
    <row r="61" spans="1:3">
      <c r="A61" s="2" t="s">
        <v>131</v>
      </c>
      <c r="B61" s="1">
        <v>10000061</v>
      </c>
      <c r="C61" s="2" t="s">
        <v>132</v>
      </c>
    </row>
    <row r="62" spans="1:3">
      <c r="A62" s="2" t="s">
        <v>133</v>
      </c>
      <c r="B62" s="1">
        <v>10000062</v>
      </c>
      <c r="C62" s="2" t="s">
        <v>134</v>
      </c>
    </row>
    <row r="63" spans="1:3">
      <c r="A63" s="2" t="s">
        <v>135</v>
      </c>
      <c r="B63" s="1">
        <v>10000063</v>
      </c>
      <c r="C63" s="2" t="s">
        <v>136</v>
      </c>
    </row>
    <row r="64" spans="1:3">
      <c r="A64" s="2" t="s">
        <v>137</v>
      </c>
      <c r="B64" s="1">
        <v>10000064</v>
      </c>
      <c r="C64" s="2" t="s">
        <v>138</v>
      </c>
    </row>
    <row r="65" spans="1:3">
      <c r="A65" s="2" t="s">
        <v>139</v>
      </c>
      <c r="B65" s="1">
        <v>10000065</v>
      </c>
      <c r="C65" s="2" t="s">
        <v>140</v>
      </c>
    </row>
    <row r="66" spans="1:3">
      <c r="A66" s="2" t="s">
        <v>141</v>
      </c>
      <c r="B66" s="1">
        <v>10000066</v>
      </c>
      <c r="C66" s="2" t="s">
        <v>142</v>
      </c>
    </row>
    <row r="67" spans="1:3">
      <c r="A67" s="2" t="s">
        <v>143</v>
      </c>
      <c r="B67" s="1">
        <v>10000067</v>
      </c>
      <c r="C67" s="2" t="s">
        <v>144</v>
      </c>
    </row>
    <row r="68" spans="1:3">
      <c r="A68" s="2" t="s">
        <v>145</v>
      </c>
      <c r="B68" s="1">
        <v>10000068</v>
      </c>
      <c r="C68" s="2" t="s">
        <v>146</v>
      </c>
    </row>
    <row r="69" spans="1:3">
      <c r="A69" s="2" t="s">
        <v>147</v>
      </c>
      <c r="B69" s="1">
        <v>10000069</v>
      </c>
      <c r="C69" s="2" t="s">
        <v>148</v>
      </c>
    </row>
    <row r="70" spans="1:3">
      <c r="A70" s="2" t="s">
        <v>149</v>
      </c>
      <c r="B70" s="1">
        <v>10000070</v>
      </c>
      <c r="C70" s="2" t="s">
        <v>150</v>
      </c>
    </row>
    <row r="71" spans="1:3">
      <c r="A71" s="2" t="s">
        <v>151</v>
      </c>
      <c r="B71" s="1">
        <v>10000071</v>
      </c>
      <c r="C71" s="2" t="s">
        <v>152</v>
      </c>
    </row>
    <row r="72" spans="1:3">
      <c r="A72" s="2" t="s">
        <v>153</v>
      </c>
      <c r="B72" s="1">
        <v>10000072</v>
      </c>
      <c r="C72" s="2" t="s">
        <v>154</v>
      </c>
    </row>
    <row r="73" spans="1:3">
      <c r="A73" s="2" t="s">
        <v>155</v>
      </c>
      <c r="B73" s="1">
        <v>10000073</v>
      </c>
      <c r="C73" s="2" t="s">
        <v>156</v>
      </c>
    </row>
    <row r="74" spans="1:3">
      <c r="A74" s="2" t="s">
        <v>157</v>
      </c>
      <c r="B74" s="1">
        <v>10000074</v>
      </c>
      <c r="C74" s="2" t="s">
        <v>158</v>
      </c>
    </row>
    <row r="75" spans="1:3">
      <c r="A75" s="2" t="s">
        <v>159</v>
      </c>
      <c r="B75" s="1">
        <v>10000075</v>
      </c>
      <c r="C75" s="2" t="s">
        <v>160</v>
      </c>
    </row>
    <row r="76" spans="1:3">
      <c r="A76" s="2" t="s">
        <v>161</v>
      </c>
      <c r="B76" s="1">
        <v>10000076</v>
      </c>
      <c r="C76" s="2" t="s">
        <v>162</v>
      </c>
    </row>
    <row r="77" spans="1:3">
      <c r="A77" s="2" t="s">
        <v>163</v>
      </c>
      <c r="B77" s="1">
        <v>10000077</v>
      </c>
      <c r="C77" s="2" t="s">
        <v>164</v>
      </c>
    </row>
    <row r="78" spans="1:3">
      <c r="A78" s="2" t="s">
        <v>165</v>
      </c>
      <c r="B78" s="1">
        <v>10000078</v>
      </c>
      <c r="C78" s="2" t="s">
        <v>166</v>
      </c>
    </row>
    <row r="79" spans="1:3">
      <c r="A79" s="2" t="s">
        <v>167</v>
      </c>
      <c r="B79" s="1">
        <v>10000079</v>
      </c>
      <c r="C79" s="2" t="s">
        <v>168</v>
      </c>
    </row>
    <row r="80" spans="1:3">
      <c r="A80" s="2" t="s">
        <v>169</v>
      </c>
      <c r="B80" s="1">
        <v>10000080</v>
      </c>
      <c r="C80" s="2" t="s">
        <v>170</v>
      </c>
    </row>
    <row r="81" spans="1:3">
      <c r="A81" s="2" t="s">
        <v>171</v>
      </c>
      <c r="B81" s="1">
        <v>10000081</v>
      </c>
      <c r="C81" s="2" t="s">
        <v>172</v>
      </c>
    </row>
    <row r="82" spans="1:3">
      <c r="A82" s="2" t="s">
        <v>173</v>
      </c>
      <c r="B82" s="1">
        <v>10000082</v>
      </c>
      <c r="C82" s="2" t="s">
        <v>174</v>
      </c>
    </row>
    <row r="83" spans="1:3">
      <c r="A83" s="2" t="s">
        <v>175</v>
      </c>
      <c r="B83" s="1">
        <v>10000083</v>
      </c>
      <c r="C83" s="2" t="s">
        <v>176</v>
      </c>
    </row>
    <row r="84" spans="1:3">
      <c r="A84" s="2" t="s">
        <v>177</v>
      </c>
      <c r="B84" s="1">
        <v>10000084</v>
      </c>
      <c r="C84" s="2" t="s">
        <v>160</v>
      </c>
    </row>
    <row r="85" spans="1:3">
      <c r="A85" s="2" t="s">
        <v>178</v>
      </c>
      <c r="B85" s="1">
        <v>10000085</v>
      </c>
      <c r="C85" s="2" t="s">
        <v>179</v>
      </c>
    </row>
    <row r="86" spans="1:3">
      <c r="A86" s="2" t="s">
        <v>180</v>
      </c>
      <c r="B86" s="1">
        <v>10000086</v>
      </c>
      <c r="C86" s="2" t="s">
        <v>160</v>
      </c>
    </row>
    <row r="87" spans="1:3">
      <c r="A87" s="2" t="s">
        <v>181</v>
      </c>
      <c r="B87" s="1">
        <v>10000087</v>
      </c>
      <c r="C87" s="2" t="s">
        <v>182</v>
      </c>
    </row>
    <row r="88" spans="1:3">
      <c r="A88" s="2" t="s">
        <v>183</v>
      </c>
      <c r="B88" s="1">
        <v>10000088</v>
      </c>
      <c r="C88" s="2" t="s">
        <v>184</v>
      </c>
    </row>
    <row r="89" spans="1:3">
      <c r="A89" s="2" t="s">
        <v>185</v>
      </c>
      <c r="B89" s="1">
        <v>10000089</v>
      </c>
      <c r="C89" s="2" t="s">
        <v>186</v>
      </c>
    </row>
    <row r="90" spans="1:3">
      <c r="A90" s="2" t="s">
        <v>187</v>
      </c>
      <c r="B90" s="1">
        <v>10000090</v>
      </c>
      <c r="C90" s="2" t="s">
        <v>188</v>
      </c>
    </row>
    <row r="91" spans="1:3">
      <c r="A91" s="2" t="s">
        <v>189</v>
      </c>
      <c r="B91" s="1">
        <v>10000091</v>
      </c>
      <c r="C91" s="2" t="s">
        <v>190</v>
      </c>
    </row>
    <row r="92" spans="1:3">
      <c r="A92" s="2" t="s">
        <v>191</v>
      </c>
      <c r="B92" s="1">
        <v>10000092</v>
      </c>
      <c r="C92" s="2" t="s">
        <v>192</v>
      </c>
    </row>
    <row r="93" spans="1:3">
      <c r="A93" s="2" t="s">
        <v>193</v>
      </c>
      <c r="B93" s="1">
        <v>10000093</v>
      </c>
      <c r="C93" s="2" t="s">
        <v>194</v>
      </c>
    </row>
    <row r="94" spans="1:3">
      <c r="A94" s="2" t="s">
        <v>195</v>
      </c>
      <c r="B94" s="1">
        <v>10000094</v>
      </c>
      <c r="C94" s="2" t="s">
        <v>196</v>
      </c>
    </row>
    <row r="95" spans="1:3">
      <c r="A95" s="2" t="s">
        <v>197</v>
      </c>
      <c r="B95" s="1">
        <v>10000095</v>
      </c>
      <c r="C95" s="2" t="s">
        <v>198</v>
      </c>
    </row>
    <row r="96" spans="1:3">
      <c r="A96" s="2" t="s">
        <v>199</v>
      </c>
      <c r="B96" s="1">
        <v>10000096</v>
      </c>
      <c r="C96" s="2" t="s">
        <v>200</v>
      </c>
    </row>
    <row r="97" spans="1:3">
      <c r="A97" s="2" t="s">
        <v>201</v>
      </c>
      <c r="B97" s="1">
        <v>10000097</v>
      </c>
      <c r="C97" s="2" t="s">
        <v>186</v>
      </c>
    </row>
    <row r="98" spans="1:3">
      <c r="A98" s="2" t="s">
        <v>202</v>
      </c>
      <c r="B98" s="1">
        <v>10000098</v>
      </c>
      <c r="C98" s="2" t="s">
        <v>203</v>
      </c>
    </row>
    <row r="99" spans="1:3">
      <c r="A99" s="2" t="s">
        <v>204</v>
      </c>
      <c r="B99" s="1">
        <v>10000099</v>
      </c>
      <c r="C99" s="2" t="s">
        <v>205</v>
      </c>
    </row>
    <row r="100" spans="1:3">
      <c r="A100" s="2" t="s">
        <v>206</v>
      </c>
      <c r="B100" s="1">
        <v>10000100</v>
      </c>
      <c r="C100" s="2" t="s">
        <v>207</v>
      </c>
    </row>
    <row r="101" spans="1:3">
      <c r="A101" s="2" t="s">
        <v>208</v>
      </c>
      <c r="B101" s="1">
        <v>10000101</v>
      </c>
      <c r="C101" s="2" t="s">
        <v>209</v>
      </c>
    </row>
    <row r="102" spans="1:3">
      <c r="A102" s="2" t="s">
        <v>210</v>
      </c>
      <c r="B102" s="1">
        <v>10000102</v>
      </c>
      <c r="C102" s="2" t="s">
        <v>211</v>
      </c>
    </row>
    <row r="103" spans="1:3">
      <c r="A103" s="2" t="s">
        <v>212</v>
      </c>
      <c r="B103" s="1">
        <v>10000103</v>
      </c>
      <c r="C103" s="2" t="s">
        <v>213</v>
      </c>
    </row>
    <row r="104" spans="1:3">
      <c r="A104" s="2" t="s">
        <v>214</v>
      </c>
      <c r="B104" s="1">
        <v>10000104</v>
      </c>
      <c r="C104" s="2" t="s">
        <v>215</v>
      </c>
    </row>
    <row r="105" spans="1:3">
      <c r="A105" s="2" t="s">
        <v>216</v>
      </c>
      <c r="B105" s="1">
        <v>10000105</v>
      </c>
      <c r="C105" s="2" t="s">
        <v>190</v>
      </c>
    </row>
    <row r="106" spans="1:3">
      <c r="A106" s="2" t="s">
        <v>217</v>
      </c>
      <c r="B106" s="1">
        <v>10000106</v>
      </c>
      <c r="C106" s="2" t="s">
        <v>218</v>
      </c>
    </row>
    <row r="107" spans="1:3">
      <c r="A107" s="2" t="s">
        <v>219</v>
      </c>
      <c r="B107" s="1">
        <v>10000107</v>
      </c>
      <c r="C107" s="2" t="s">
        <v>220</v>
      </c>
    </row>
    <row r="108" spans="1:3">
      <c r="A108" s="2" t="s">
        <v>221</v>
      </c>
      <c r="B108" s="1">
        <v>10000108</v>
      </c>
      <c r="C108" s="2" t="s">
        <v>222</v>
      </c>
    </row>
    <row r="109" spans="1:3">
      <c r="A109" s="2" t="s">
        <v>223</v>
      </c>
      <c r="B109" s="1">
        <v>10000109</v>
      </c>
      <c r="C109" s="2" t="s">
        <v>224</v>
      </c>
    </row>
    <row r="110" spans="1:3">
      <c r="A110" s="2" t="s">
        <v>225</v>
      </c>
      <c r="B110" s="1">
        <v>10000110</v>
      </c>
      <c r="C110" s="2" t="s">
        <v>226</v>
      </c>
    </row>
    <row r="111" spans="1:3">
      <c r="A111" s="2" t="s">
        <v>227</v>
      </c>
      <c r="B111" s="1">
        <v>10000111</v>
      </c>
      <c r="C111" s="2" t="s">
        <v>228</v>
      </c>
    </row>
    <row r="112" spans="1:3">
      <c r="A112" s="2" t="s">
        <v>229</v>
      </c>
      <c r="B112" s="1">
        <v>10000112</v>
      </c>
      <c r="C112" s="2" t="s">
        <v>230</v>
      </c>
    </row>
    <row r="113" spans="1:3">
      <c r="A113" s="2" t="s">
        <v>231</v>
      </c>
      <c r="B113" s="1">
        <v>10000113</v>
      </c>
      <c r="C113" s="2" t="s">
        <v>232</v>
      </c>
    </row>
    <row r="114" spans="1:3">
      <c r="A114" s="2" t="s">
        <v>233</v>
      </c>
      <c r="B114" s="1">
        <v>10000114</v>
      </c>
      <c r="C114" s="2" t="s">
        <v>234</v>
      </c>
    </row>
    <row r="115" spans="1:3">
      <c r="A115" s="2" t="s">
        <v>235</v>
      </c>
      <c r="B115" s="1">
        <v>10000115</v>
      </c>
      <c r="C115" s="2" t="s">
        <v>236</v>
      </c>
    </row>
    <row r="116" spans="1:3">
      <c r="A116" s="2" t="s">
        <v>237</v>
      </c>
      <c r="B116" s="1">
        <v>10000116</v>
      </c>
      <c r="C116" s="2" t="s">
        <v>238</v>
      </c>
    </row>
    <row r="117" spans="1:3">
      <c r="A117" s="2" t="s">
        <v>239</v>
      </c>
      <c r="B117" s="1">
        <v>10000117</v>
      </c>
      <c r="C117" s="2" t="s">
        <v>240</v>
      </c>
    </row>
    <row r="118" spans="1:3">
      <c r="A118" s="2" t="s">
        <v>241</v>
      </c>
      <c r="B118" s="1">
        <v>10000118</v>
      </c>
      <c r="C118" s="2" t="s">
        <v>242</v>
      </c>
    </row>
    <row r="119" spans="1:3">
      <c r="A119" s="2" t="s">
        <v>243</v>
      </c>
      <c r="B119" s="1">
        <v>10000119</v>
      </c>
      <c r="C119" s="2" t="s">
        <v>244</v>
      </c>
    </row>
    <row r="120" spans="1:3">
      <c r="A120" s="2" t="s">
        <v>245</v>
      </c>
      <c r="B120" s="1">
        <v>10000120</v>
      </c>
      <c r="C120" s="2" t="s">
        <v>246</v>
      </c>
    </row>
    <row r="121" spans="1:3">
      <c r="A121" s="2" t="s">
        <v>247</v>
      </c>
      <c r="B121" s="1">
        <v>10000121</v>
      </c>
      <c r="C121" s="2" t="s">
        <v>248</v>
      </c>
    </row>
    <row r="122" spans="1:3">
      <c r="A122" s="2" t="s">
        <v>249</v>
      </c>
      <c r="B122" s="1">
        <v>10000122</v>
      </c>
      <c r="C122" s="2" t="s">
        <v>250</v>
      </c>
    </row>
    <row r="123" spans="1:3">
      <c r="A123" s="2" t="s">
        <v>251</v>
      </c>
      <c r="B123" s="1">
        <v>10000123</v>
      </c>
      <c r="C123" s="2" t="s">
        <v>242</v>
      </c>
    </row>
    <row r="124" spans="1:3">
      <c r="A124" s="2" t="s">
        <v>252</v>
      </c>
      <c r="B124" s="1">
        <v>10000124</v>
      </c>
      <c r="C124" s="2" t="s">
        <v>242</v>
      </c>
    </row>
    <row r="125" spans="1:3">
      <c r="A125" s="2" t="s">
        <v>253</v>
      </c>
      <c r="B125" s="1">
        <v>10000125</v>
      </c>
      <c r="C125" s="2" t="s">
        <v>254</v>
      </c>
    </row>
    <row r="126" spans="1:3">
      <c r="A126" s="2" t="s">
        <v>255</v>
      </c>
      <c r="B126" s="1">
        <v>10000126</v>
      </c>
      <c r="C126" s="2" t="s">
        <v>256</v>
      </c>
    </row>
    <row r="127" spans="1:3">
      <c r="A127" s="2" t="s">
        <v>257</v>
      </c>
      <c r="B127" s="1">
        <v>10000127</v>
      </c>
      <c r="C127" s="2" t="s">
        <v>258</v>
      </c>
    </row>
    <row r="128" spans="1:3">
      <c r="A128" s="2" t="s">
        <v>259</v>
      </c>
      <c r="B128" s="1">
        <v>10000128</v>
      </c>
      <c r="C128" s="2" t="s">
        <v>260</v>
      </c>
    </row>
    <row r="129" spans="1:3">
      <c r="A129" s="2" t="s">
        <v>261</v>
      </c>
      <c r="B129" s="1">
        <v>10000129</v>
      </c>
      <c r="C129" s="2" t="s">
        <v>262</v>
      </c>
    </row>
    <row r="130" spans="1:3">
      <c r="A130" s="2" t="s">
        <v>263</v>
      </c>
      <c r="B130" s="1">
        <v>10000130</v>
      </c>
      <c r="C130" s="2" t="s">
        <v>264</v>
      </c>
    </row>
    <row r="131" spans="1:3">
      <c r="A131" s="2" t="s">
        <v>265</v>
      </c>
      <c r="B131" s="1">
        <v>10000131</v>
      </c>
      <c r="C131" s="2" t="s">
        <v>266</v>
      </c>
    </row>
    <row r="132" spans="1:3">
      <c r="A132" s="2" t="s">
        <v>267</v>
      </c>
      <c r="B132" s="1">
        <v>10000132</v>
      </c>
      <c r="C132" s="2" t="s">
        <v>268</v>
      </c>
    </row>
    <row r="133" spans="1:3">
      <c r="A133" s="2" t="s">
        <v>269</v>
      </c>
      <c r="B133" s="1">
        <v>10000133</v>
      </c>
      <c r="C133" s="2" t="s">
        <v>270</v>
      </c>
    </row>
    <row r="134" spans="1:3">
      <c r="A134" s="2" t="s">
        <v>271</v>
      </c>
      <c r="B134" s="1">
        <v>10000134</v>
      </c>
      <c r="C134" s="2" t="s">
        <v>272</v>
      </c>
    </row>
    <row r="135" spans="1:3">
      <c r="A135" s="2" t="s">
        <v>273</v>
      </c>
      <c r="B135" s="1">
        <v>10000135</v>
      </c>
      <c r="C135" s="2" t="s">
        <v>274</v>
      </c>
    </row>
    <row r="136" spans="1:3">
      <c r="A136" s="2" t="s">
        <v>275</v>
      </c>
      <c r="B136" s="1">
        <v>10000136</v>
      </c>
      <c r="C136" s="2" t="s">
        <v>276</v>
      </c>
    </row>
    <row r="137" spans="1:3">
      <c r="A137" s="2" t="s">
        <v>277</v>
      </c>
      <c r="B137" s="1">
        <v>10000137</v>
      </c>
      <c r="C137" s="2" t="s">
        <v>278</v>
      </c>
    </row>
    <row r="138" spans="1:3">
      <c r="A138" s="2" t="s">
        <v>279</v>
      </c>
      <c r="B138" s="1">
        <v>10000138</v>
      </c>
      <c r="C138" s="2" t="s">
        <v>280</v>
      </c>
    </row>
    <row r="139" spans="1:3">
      <c r="A139" s="2" t="s">
        <v>281</v>
      </c>
      <c r="B139" s="1">
        <v>10000139</v>
      </c>
      <c r="C139" s="2" t="s">
        <v>282</v>
      </c>
    </row>
    <row r="140" spans="1:3">
      <c r="A140" s="2" t="s">
        <v>283</v>
      </c>
      <c r="B140" s="1">
        <v>10000140</v>
      </c>
      <c r="C140" s="2" t="s">
        <v>284</v>
      </c>
    </row>
    <row r="141" spans="1:3">
      <c r="A141" s="2" t="s">
        <v>285</v>
      </c>
      <c r="B141" s="1">
        <v>10000141</v>
      </c>
      <c r="C141" s="2" t="s">
        <v>286</v>
      </c>
    </row>
    <row r="142" spans="1:3">
      <c r="A142" s="2" t="s">
        <v>287</v>
      </c>
      <c r="B142" s="1">
        <v>10000142</v>
      </c>
      <c r="C142" s="2" t="s">
        <v>288</v>
      </c>
    </row>
    <row r="143" spans="1:3">
      <c r="A143" s="2" t="s">
        <v>289</v>
      </c>
      <c r="B143" s="1">
        <v>10000143</v>
      </c>
      <c r="C143" s="2" t="s">
        <v>290</v>
      </c>
    </row>
    <row r="144" spans="1:3">
      <c r="A144" s="2" t="s">
        <v>291</v>
      </c>
      <c r="B144" s="1">
        <v>10000144</v>
      </c>
      <c r="C144" s="2" t="s">
        <v>292</v>
      </c>
    </row>
    <row r="145" spans="1:3">
      <c r="A145" s="2" t="s">
        <v>293</v>
      </c>
      <c r="B145" s="1">
        <v>10000145</v>
      </c>
      <c r="C145" s="2" t="s">
        <v>294</v>
      </c>
    </row>
    <row r="146" spans="1:3">
      <c r="A146" s="2" t="s">
        <v>295</v>
      </c>
      <c r="B146" s="1">
        <v>10000146</v>
      </c>
      <c r="C146" s="2" t="s">
        <v>296</v>
      </c>
    </row>
    <row r="147" spans="1:3">
      <c r="A147" s="2" t="s">
        <v>297</v>
      </c>
      <c r="B147" s="1">
        <v>10000147</v>
      </c>
      <c r="C147" s="2" t="s">
        <v>298</v>
      </c>
    </row>
    <row r="148" spans="1:3">
      <c r="A148" s="2" t="s">
        <v>299</v>
      </c>
      <c r="B148" s="1">
        <v>10000148</v>
      </c>
      <c r="C148" s="2" t="s">
        <v>300</v>
      </c>
    </row>
    <row r="149" spans="1:3">
      <c r="A149" s="2" t="s">
        <v>301</v>
      </c>
      <c r="B149" s="1">
        <v>10000149</v>
      </c>
      <c r="C149" s="2" t="s">
        <v>302</v>
      </c>
    </row>
    <row r="150" spans="1:3">
      <c r="A150" s="2" t="s">
        <v>303</v>
      </c>
      <c r="B150" s="1">
        <v>10000150</v>
      </c>
      <c r="C150" s="2" t="s">
        <v>304</v>
      </c>
    </row>
    <row r="151" spans="1:3">
      <c r="A151" s="2" t="s">
        <v>305</v>
      </c>
      <c r="B151" s="1">
        <v>10000151</v>
      </c>
      <c r="C151" s="2" t="s">
        <v>306</v>
      </c>
    </row>
    <row r="152" spans="1:3">
      <c r="A152" s="2" t="s">
        <v>307</v>
      </c>
      <c r="B152" s="1">
        <v>10000152</v>
      </c>
      <c r="C152" s="2" t="s">
        <v>308</v>
      </c>
    </row>
    <row r="153" spans="1:3">
      <c r="A153" s="2" t="s">
        <v>309</v>
      </c>
      <c r="B153" s="1">
        <v>10000153</v>
      </c>
      <c r="C153" s="2" t="s">
        <v>308</v>
      </c>
    </row>
    <row r="154" spans="1:3">
      <c r="A154" s="2" t="s">
        <v>310</v>
      </c>
      <c r="B154" s="1">
        <v>10000154</v>
      </c>
      <c r="C154" s="2" t="s">
        <v>311</v>
      </c>
    </row>
    <row r="155" spans="1:3">
      <c r="A155" s="2" t="s">
        <v>312</v>
      </c>
      <c r="B155" s="1">
        <v>10000155</v>
      </c>
      <c r="C155" s="2" t="s">
        <v>313</v>
      </c>
    </row>
    <row r="156" spans="1:3">
      <c r="A156" s="2" t="s">
        <v>314</v>
      </c>
      <c r="B156" s="1">
        <v>10000156</v>
      </c>
      <c r="C156" s="2" t="s">
        <v>315</v>
      </c>
    </row>
    <row r="157" spans="1:3">
      <c r="A157" s="2" t="s">
        <v>316</v>
      </c>
      <c r="B157" s="1">
        <v>10000157</v>
      </c>
      <c r="C157" s="2" t="s">
        <v>317</v>
      </c>
    </row>
    <row r="158" spans="1:3">
      <c r="A158" s="2" t="s">
        <v>318</v>
      </c>
      <c r="B158" s="1">
        <v>10000158</v>
      </c>
      <c r="C158" s="2" t="s">
        <v>319</v>
      </c>
    </row>
    <row r="159" spans="1:3">
      <c r="A159" s="2" t="s">
        <v>320</v>
      </c>
      <c r="B159" s="1">
        <v>10000159</v>
      </c>
      <c r="C159" s="2" t="s">
        <v>321</v>
      </c>
    </row>
    <row r="160" spans="1:3">
      <c r="A160" s="2" t="s">
        <v>322</v>
      </c>
      <c r="B160" s="1">
        <v>10000160</v>
      </c>
      <c r="C160" s="2" t="s">
        <v>323</v>
      </c>
    </row>
    <row r="161" spans="1:3">
      <c r="A161" s="2" t="s">
        <v>324</v>
      </c>
      <c r="B161" s="1">
        <v>10000161</v>
      </c>
      <c r="C161" s="2" t="s">
        <v>325</v>
      </c>
    </row>
    <row r="162" spans="1:3">
      <c r="A162" s="2" t="s">
        <v>326</v>
      </c>
      <c r="B162" s="1">
        <v>10000162</v>
      </c>
      <c r="C162" s="2" t="s">
        <v>327</v>
      </c>
    </row>
    <row r="163" spans="1:3">
      <c r="A163" s="2" t="s">
        <v>328</v>
      </c>
      <c r="B163" s="1">
        <v>10000163</v>
      </c>
      <c r="C163" s="2" t="s">
        <v>329</v>
      </c>
    </row>
    <row r="164" spans="1:3">
      <c r="A164" s="2" t="s">
        <v>330</v>
      </c>
      <c r="B164" s="1">
        <v>10000164</v>
      </c>
      <c r="C164" s="2" t="s">
        <v>331</v>
      </c>
    </row>
    <row r="165" spans="1:3">
      <c r="A165" s="2" t="s">
        <v>332</v>
      </c>
      <c r="B165" s="1">
        <v>10000165</v>
      </c>
      <c r="C165" s="2" t="s">
        <v>333</v>
      </c>
    </row>
    <row r="166" spans="1:3">
      <c r="A166" s="2" t="s">
        <v>334</v>
      </c>
      <c r="B166" s="1">
        <v>10000166</v>
      </c>
      <c r="C166" s="2" t="s">
        <v>335</v>
      </c>
    </row>
    <row r="167" spans="1:3">
      <c r="A167" s="2" t="s">
        <v>336</v>
      </c>
      <c r="B167" s="1">
        <v>10000167</v>
      </c>
      <c r="C167" s="2" t="s">
        <v>337</v>
      </c>
    </row>
    <row r="168" spans="1:3">
      <c r="A168" s="2" t="s">
        <v>338</v>
      </c>
      <c r="B168" s="1">
        <v>10000168</v>
      </c>
      <c r="C168" s="2" t="s">
        <v>339</v>
      </c>
    </row>
    <row r="169" spans="1:3">
      <c r="A169" s="2" t="s">
        <v>340</v>
      </c>
      <c r="B169" s="1">
        <v>10000169</v>
      </c>
      <c r="C169" s="2" t="s">
        <v>341</v>
      </c>
    </row>
    <row r="170" spans="1:3">
      <c r="A170" s="2" t="s">
        <v>342</v>
      </c>
      <c r="B170" s="1">
        <v>10000170</v>
      </c>
      <c r="C170" s="2" t="s">
        <v>343</v>
      </c>
    </row>
    <row r="171" spans="1:3">
      <c r="A171" s="2" t="s">
        <v>344</v>
      </c>
      <c r="B171" s="1">
        <v>10000171</v>
      </c>
      <c r="C171" s="2" t="s">
        <v>345</v>
      </c>
    </row>
    <row r="172" spans="1:3">
      <c r="A172" s="2" t="s">
        <v>346</v>
      </c>
      <c r="B172" s="1">
        <v>10000172</v>
      </c>
      <c r="C172" s="2" t="s">
        <v>347</v>
      </c>
    </row>
    <row r="173" spans="1:3">
      <c r="A173" s="2" t="s">
        <v>348</v>
      </c>
      <c r="B173" s="1">
        <v>10000173</v>
      </c>
      <c r="C173" s="2" t="s">
        <v>349</v>
      </c>
    </row>
    <row r="174" spans="1:3">
      <c r="A174" s="2" t="s">
        <v>350</v>
      </c>
      <c r="B174" s="1">
        <v>10000174</v>
      </c>
      <c r="C174" s="2" t="s">
        <v>351</v>
      </c>
    </row>
    <row r="175" spans="1:3">
      <c r="A175" s="2" t="s">
        <v>352</v>
      </c>
      <c r="B175" s="1">
        <v>10000175</v>
      </c>
      <c r="C175" s="2" t="s">
        <v>353</v>
      </c>
    </row>
    <row r="176" spans="1:3">
      <c r="A176" s="2" t="s">
        <v>354</v>
      </c>
      <c r="B176" s="1">
        <v>10000176</v>
      </c>
      <c r="C176" s="2" t="s">
        <v>355</v>
      </c>
    </row>
    <row r="177" spans="1:3">
      <c r="A177" s="2" t="s">
        <v>356</v>
      </c>
      <c r="B177" s="1">
        <v>10000177</v>
      </c>
      <c r="C177" s="2" t="s">
        <v>357</v>
      </c>
    </row>
    <row r="178" spans="1:3">
      <c r="A178" s="2" t="s">
        <v>358</v>
      </c>
      <c r="B178" s="1">
        <v>10000178</v>
      </c>
      <c r="C178" s="2" t="s">
        <v>359</v>
      </c>
    </row>
    <row r="179" spans="1:3">
      <c r="A179" s="2" t="s">
        <v>360</v>
      </c>
      <c r="B179" s="1">
        <v>10000179</v>
      </c>
      <c r="C179" s="2" t="s">
        <v>361</v>
      </c>
    </row>
    <row r="180" spans="1:3">
      <c r="A180" s="2" t="s">
        <v>362</v>
      </c>
      <c r="B180" s="1">
        <v>10000180</v>
      </c>
      <c r="C180" s="2" t="s">
        <v>363</v>
      </c>
    </row>
    <row r="181" spans="1:3">
      <c r="A181" s="2" t="s">
        <v>364</v>
      </c>
      <c r="B181" s="1">
        <v>10000181</v>
      </c>
      <c r="C181" s="2" t="s">
        <v>365</v>
      </c>
    </row>
    <row r="182" spans="1:3">
      <c r="A182" s="2" t="s">
        <v>366</v>
      </c>
      <c r="B182" s="1">
        <v>10000182</v>
      </c>
      <c r="C182" s="2" t="s">
        <v>367</v>
      </c>
    </row>
    <row r="183" spans="1:3">
      <c r="A183" s="2" t="s">
        <v>368</v>
      </c>
      <c r="B183" s="1">
        <v>10000183</v>
      </c>
      <c r="C183" s="2" t="s">
        <v>369</v>
      </c>
    </row>
    <row r="184" spans="1:3">
      <c r="A184" s="2" t="s">
        <v>370</v>
      </c>
      <c r="B184" s="1">
        <v>10000184</v>
      </c>
      <c r="C184" s="2" t="s">
        <v>371</v>
      </c>
    </row>
    <row r="185" spans="1:3">
      <c r="A185" s="2" t="s">
        <v>372</v>
      </c>
      <c r="B185" s="1">
        <v>10000185</v>
      </c>
      <c r="C185" s="2" t="s">
        <v>355</v>
      </c>
    </row>
    <row r="186" spans="1:3">
      <c r="A186" s="2" t="s">
        <v>373</v>
      </c>
      <c r="B186" s="1">
        <v>10000186</v>
      </c>
      <c r="C186" s="2" t="s">
        <v>374</v>
      </c>
    </row>
    <row r="187" spans="1:3">
      <c r="A187" s="2" t="s">
        <v>375</v>
      </c>
      <c r="B187" s="1">
        <v>10000187</v>
      </c>
      <c r="C187" s="2" t="s">
        <v>376</v>
      </c>
    </row>
    <row r="188" spans="1:3">
      <c r="A188" s="2" t="s">
        <v>377</v>
      </c>
      <c r="B188" s="1">
        <v>10000188</v>
      </c>
      <c r="C188" s="2" t="s">
        <v>378</v>
      </c>
    </row>
    <row r="189" spans="1:3">
      <c r="A189" s="2" t="s">
        <v>379</v>
      </c>
      <c r="B189" s="1">
        <v>10000189</v>
      </c>
      <c r="C189" s="2" t="s">
        <v>380</v>
      </c>
    </row>
    <row r="190" spans="1:3">
      <c r="A190" s="2" t="s">
        <v>381</v>
      </c>
      <c r="B190" s="1">
        <v>10000190</v>
      </c>
      <c r="C190" s="2" t="s">
        <v>382</v>
      </c>
    </row>
    <row r="191" spans="1:3">
      <c r="A191" s="2" t="s">
        <v>383</v>
      </c>
      <c r="B191" s="1">
        <v>10000191</v>
      </c>
      <c r="C191" s="2" t="s">
        <v>384</v>
      </c>
    </row>
    <row r="192" spans="1:3">
      <c r="A192" s="2" t="s">
        <v>385</v>
      </c>
      <c r="B192" s="1">
        <v>10000192</v>
      </c>
      <c r="C192" s="2" t="s">
        <v>345</v>
      </c>
    </row>
    <row r="193" spans="1:3">
      <c r="A193" s="2" t="s">
        <v>386</v>
      </c>
      <c r="B193" s="1">
        <v>10000193</v>
      </c>
      <c r="C193" s="2" t="s">
        <v>387</v>
      </c>
    </row>
    <row r="194" spans="1:3">
      <c r="A194" s="2" t="s">
        <v>388</v>
      </c>
      <c r="B194" s="1">
        <v>10000194</v>
      </c>
      <c r="C194" s="2" t="s">
        <v>389</v>
      </c>
    </row>
    <row r="195" spans="1:3">
      <c r="A195" s="2" t="s">
        <v>390</v>
      </c>
      <c r="B195" s="1">
        <v>10000195</v>
      </c>
      <c r="C195" s="2" t="s">
        <v>391</v>
      </c>
    </row>
    <row r="196" spans="1:3">
      <c r="A196" s="2" t="s">
        <v>392</v>
      </c>
      <c r="B196" s="1">
        <v>10000196</v>
      </c>
      <c r="C196" s="2" t="s">
        <v>393</v>
      </c>
    </row>
    <row r="197" spans="1:3">
      <c r="A197" s="2" t="s">
        <v>394</v>
      </c>
      <c r="B197" s="1">
        <v>10000197</v>
      </c>
      <c r="C197" s="2" t="s">
        <v>395</v>
      </c>
    </row>
    <row r="198" spans="1:3">
      <c r="A198" s="2" t="s">
        <v>396</v>
      </c>
      <c r="B198" s="1">
        <v>10000198</v>
      </c>
      <c r="C198" s="2" t="s">
        <v>397</v>
      </c>
    </row>
    <row r="199" spans="1:3">
      <c r="A199" s="2" t="s">
        <v>398</v>
      </c>
      <c r="B199" s="1">
        <v>10000199</v>
      </c>
      <c r="C199" s="2" t="s">
        <v>399</v>
      </c>
    </row>
    <row r="200" spans="1:3">
      <c r="A200" s="2" t="s">
        <v>400</v>
      </c>
      <c r="B200" s="1">
        <v>10000200</v>
      </c>
      <c r="C200" s="2" t="s">
        <v>401</v>
      </c>
    </row>
    <row r="201" spans="1:3">
      <c r="A201" s="2" t="s">
        <v>402</v>
      </c>
      <c r="B201" s="1">
        <v>10000201</v>
      </c>
      <c r="C201" s="2" t="s">
        <v>397</v>
      </c>
    </row>
    <row r="202" spans="1:3">
      <c r="A202" s="2" t="s">
        <v>403</v>
      </c>
      <c r="B202" s="1">
        <v>10000202</v>
      </c>
      <c r="C202" s="2" t="s">
        <v>404</v>
      </c>
    </row>
    <row r="203" spans="1:3">
      <c r="A203" s="2" t="s">
        <v>405</v>
      </c>
      <c r="B203" s="1">
        <v>10000203</v>
      </c>
      <c r="C203" s="2" t="s">
        <v>406</v>
      </c>
    </row>
    <row r="204" spans="1:3">
      <c r="A204" s="2" t="s">
        <v>407</v>
      </c>
      <c r="B204" s="1">
        <v>10000204</v>
      </c>
      <c r="C204" s="2" t="s">
        <v>408</v>
      </c>
    </row>
    <row r="205" spans="1:3">
      <c r="A205" s="2" t="s">
        <v>409</v>
      </c>
      <c r="B205" s="1">
        <v>10000205</v>
      </c>
      <c r="C205" s="2" t="s">
        <v>410</v>
      </c>
    </row>
    <row r="206" spans="1:3">
      <c r="A206" s="2" t="s">
        <v>411</v>
      </c>
      <c r="B206" s="1">
        <v>10000206</v>
      </c>
      <c r="C206" s="2" t="s">
        <v>412</v>
      </c>
    </row>
    <row r="207" spans="1:3">
      <c r="A207" s="2" t="s">
        <v>413</v>
      </c>
      <c r="B207" s="1">
        <v>10000207</v>
      </c>
      <c r="C207" s="2" t="s">
        <v>414</v>
      </c>
    </row>
    <row r="208" spans="1:3">
      <c r="A208" s="2" t="s">
        <v>415</v>
      </c>
      <c r="B208" s="1">
        <v>10000208</v>
      </c>
      <c r="C208" s="2" t="s">
        <v>416</v>
      </c>
    </row>
    <row r="209" spans="1:3">
      <c r="A209" s="2" t="s">
        <v>417</v>
      </c>
      <c r="B209" s="1">
        <v>10000209</v>
      </c>
      <c r="C209" s="2" t="s">
        <v>418</v>
      </c>
    </row>
    <row r="210" spans="1:3">
      <c r="A210" s="2" t="s">
        <v>419</v>
      </c>
      <c r="B210" s="1">
        <v>10000210</v>
      </c>
      <c r="C210" s="2" t="s">
        <v>420</v>
      </c>
    </row>
    <row r="211" spans="1:3">
      <c r="A211" s="2" t="s">
        <v>421</v>
      </c>
      <c r="B211" s="1">
        <v>10000211</v>
      </c>
      <c r="C211" s="2" t="s">
        <v>422</v>
      </c>
    </row>
    <row r="212" spans="1:3">
      <c r="A212" s="2" t="s">
        <v>423</v>
      </c>
      <c r="B212" s="1">
        <v>10000212</v>
      </c>
      <c r="C212" s="2" t="s">
        <v>424</v>
      </c>
    </row>
    <row r="213" spans="1:3">
      <c r="A213" s="2" t="s">
        <v>425</v>
      </c>
      <c r="B213" s="1">
        <v>10000213</v>
      </c>
      <c r="C213" s="2" t="s">
        <v>426</v>
      </c>
    </row>
    <row r="214" spans="1:3">
      <c r="A214" s="2" t="s">
        <v>427</v>
      </c>
      <c r="B214" s="1">
        <v>10000214</v>
      </c>
      <c r="C214" s="2" t="s">
        <v>428</v>
      </c>
    </row>
    <row r="215" spans="1:3">
      <c r="A215" s="2" t="s">
        <v>429</v>
      </c>
      <c r="B215" s="1">
        <v>10000215</v>
      </c>
      <c r="C215" s="2" t="s">
        <v>430</v>
      </c>
    </row>
    <row r="216" spans="1:3">
      <c r="A216" s="2" t="s">
        <v>431</v>
      </c>
      <c r="B216" s="1">
        <v>10000216</v>
      </c>
      <c r="C216" s="2" t="s">
        <v>432</v>
      </c>
    </row>
    <row r="217" spans="1:3">
      <c r="A217" s="2" t="s">
        <v>433</v>
      </c>
      <c r="B217" s="1">
        <v>10000217</v>
      </c>
      <c r="C217" s="2" t="s">
        <v>434</v>
      </c>
    </row>
    <row r="218" spans="1:3">
      <c r="A218" s="2" t="s">
        <v>435</v>
      </c>
      <c r="B218" s="1">
        <v>10000218</v>
      </c>
      <c r="C218" s="2" t="s">
        <v>436</v>
      </c>
    </row>
    <row r="219" spans="1:3">
      <c r="A219" s="2" t="s">
        <v>437</v>
      </c>
      <c r="B219" s="1">
        <v>10000219</v>
      </c>
      <c r="C219" s="2" t="s">
        <v>438</v>
      </c>
    </row>
    <row r="220" spans="1:3">
      <c r="A220" s="2" t="s">
        <v>439</v>
      </c>
      <c r="B220" s="1">
        <v>10000220</v>
      </c>
      <c r="C220" s="2" t="s">
        <v>440</v>
      </c>
    </row>
    <row r="221" spans="1:3">
      <c r="A221" s="2" t="s">
        <v>441</v>
      </c>
      <c r="B221" s="1">
        <v>10000221</v>
      </c>
      <c r="C221" s="2" t="s">
        <v>442</v>
      </c>
    </row>
    <row r="222" spans="1:3">
      <c r="A222" s="2" t="s">
        <v>443</v>
      </c>
      <c r="B222" s="1">
        <v>10000222</v>
      </c>
      <c r="C222" s="2" t="s">
        <v>444</v>
      </c>
    </row>
    <row r="223" spans="1:3">
      <c r="A223" s="2" t="s">
        <v>445</v>
      </c>
      <c r="B223" s="1">
        <v>10000223</v>
      </c>
      <c r="C223" s="2" t="s">
        <v>446</v>
      </c>
    </row>
    <row r="224" spans="1:3">
      <c r="A224" s="2" t="s">
        <v>447</v>
      </c>
      <c r="B224" s="1">
        <v>10000224</v>
      </c>
      <c r="C224" s="2" t="s">
        <v>448</v>
      </c>
    </row>
    <row r="225" spans="1:3">
      <c r="A225" s="2" t="s">
        <v>449</v>
      </c>
      <c r="B225" s="1">
        <v>10000225</v>
      </c>
      <c r="C225" s="2" t="s">
        <v>450</v>
      </c>
    </row>
    <row r="226" spans="1:3">
      <c r="A226" s="2" t="s">
        <v>451</v>
      </c>
      <c r="B226" s="1">
        <v>10000226</v>
      </c>
      <c r="C226" s="2" t="s">
        <v>452</v>
      </c>
    </row>
    <row r="227" spans="1:3">
      <c r="A227" s="2" t="s">
        <v>453</v>
      </c>
      <c r="B227" s="1">
        <v>10000227</v>
      </c>
      <c r="C227" s="2" t="s">
        <v>454</v>
      </c>
    </row>
    <row r="228" spans="1:3">
      <c r="A228" s="2" t="s">
        <v>455</v>
      </c>
      <c r="B228" s="1">
        <v>10000228</v>
      </c>
      <c r="C228" s="2" t="s">
        <v>456</v>
      </c>
    </row>
    <row r="229" spans="1:3">
      <c r="A229" s="2" t="s">
        <v>457</v>
      </c>
      <c r="B229" s="1">
        <v>10000229</v>
      </c>
      <c r="C229" s="2" t="s">
        <v>458</v>
      </c>
    </row>
    <row r="230" spans="1:3">
      <c r="A230" s="2" t="s">
        <v>459</v>
      </c>
      <c r="B230" s="1">
        <v>10000230</v>
      </c>
      <c r="C230" s="2" t="s">
        <v>460</v>
      </c>
    </row>
    <row r="231" spans="1:3">
      <c r="A231" s="2" t="s">
        <v>461</v>
      </c>
      <c r="B231" s="1">
        <v>10000231</v>
      </c>
      <c r="C231" s="2" t="s">
        <v>462</v>
      </c>
    </row>
    <row r="232" spans="1:3">
      <c r="A232" s="2" t="s">
        <v>463</v>
      </c>
      <c r="B232" s="1">
        <v>10000232</v>
      </c>
      <c r="C232" s="2" t="s">
        <v>464</v>
      </c>
    </row>
    <row r="233" spans="1:3">
      <c r="A233" s="2" t="s">
        <v>465</v>
      </c>
      <c r="B233" s="1">
        <v>10000233</v>
      </c>
      <c r="C233" s="2" t="s">
        <v>466</v>
      </c>
    </row>
    <row r="234" spans="1:3">
      <c r="A234" s="2" t="s">
        <v>467</v>
      </c>
      <c r="B234" s="1">
        <v>10000234</v>
      </c>
      <c r="C234" s="2" t="s">
        <v>428</v>
      </c>
    </row>
    <row r="235" spans="1:3">
      <c r="A235" s="2" t="s">
        <v>468</v>
      </c>
      <c r="B235" s="1">
        <v>10000235</v>
      </c>
      <c r="C235" s="2" t="s">
        <v>469</v>
      </c>
    </row>
    <row r="236" spans="1:3">
      <c r="A236" s="2" t="s">
        <v>470</v>
      </c>
      <c r="B236" s="1">
        <v>10000236</v>
      </c>
      <c r="C236" s="2" t="s">
        <v>471</v>
      </c>
    </row>
    <row r="237" spans="1:3">
      <c r="A237" s="2" t="s">
        <v>472</v>
      </c>
      <c r="B237" s="1">
        <v>10000237</v>
      </c>
      <c r="C237" s="2" t="s">
        <v>434</v>
      </c>
    </row>
    <row r="238" spans="1:3">
      <c r="A238" s="2" t="s">
        <v>473</v>
      </c>
      <c r="B238" s="1">
        <v>10000238</v>
      </c>
      <c r="C238" s="2" t="s">
        <v>474</v>
      </c>
    </row>
    <row r="239" spans="1:3">
      <c r="A239" s="2" t="s">
        <v>475</v>
      </c>
      <c r="B239" s="1">
        <v>10000239</v>
      </c>
      <c r="C239" s="2" t="s">
        <v>474</v>
      </c>
    </row>
    <row r="240" spans="1:3">
      <c r="A240" s="2" t="s">
        <v>476</v>
      </c>
      <c r="B240" s="1">
        <v>10000240</v>
      </c>
      <c r="C240" s="2" t="s">
        <v>477</v>
      </c>
    </row>
    <row r="241" spans="1:3">
      <c r="A241" s="2" t="s">
        <v>478</v>
      </c>
      <c r="B241" s="1">
        <v>10000241</v>
      </c>
      <c r="C241" s="2" t="s">
        <v>479</v>
      </c>
    </row>
    <row r="242" spans="1:3">
      <c r="A242" s="2" t="s">
        <v>480</v>
      </c>
      <c r="B242" s="1">
        <v>10000242</v>
      </c>
      <c r="C242" s="2" t="s">
        <v>481</v>
      </c>
    </row>
    <row r="243" spans="1:3">
      <c r="A243" s="2" t="s">
        <v>482</v>
      </c>
      <c r="B243" s="1">
        <v>10000243</v>
      </c>
      <c r="C243" s="2" t="s">
        <v>483</v>
      </c>
    </row>
    <row r="244" spans="1:3">
      <c r="A244" s="2" t="s">
        <v>484</v>
      </c>
      <c r="B244" s="1">
        <v>10000244</v>
      </c>
      <c r="C244" s="2" t="s">
        <v>485</v>
      </c>
    </row>
    <row r="245" spans="1:3">
      <c r="A245" s="2" t="s">
        <v>486</v>
      </c>
      <c r="B245" s="1">
        <v>10000245</v>
      </c>
      <c r="C245" s="2" t="s">
        <v>487</v>
      </c>
    </row>
    <row r="246" spans="1:3">
      <c r="A246" s="2" t="s">
        <v>488</v>
      </c>
      <c r="B246" s="1">
        <v>10000246</v>
      </c>
      <c r="C246" s="2" t="s">
        <v>489</v>
      </c>
    </row>
    <row r="247" spans="1:3">
      <c r="A247" s="2" t="s">
        <v>490</v>
      </c>
      <c r="B247" s="1">
        <v>10000247</v>
      </c>
      <c r="C247" s="2" t="s">
        <v>489</v>
      </c>
    </row>
    <row r="248" spans="1:3">
      <c r="A248" s="2" t="s">
        <v>491</v>
      </c>
      <c r="B248" s="1">
        <v>10000248</v>
      </c>
      <c r="C248" s="2" t="s">
        <v>492</v>
      </c>
    </row>
    <row r="249" spans="1:3">
      <c r="A249" s="2" t="s">
        <v>493</v>
      </c>
      <c r="B249" s="1">
        <v>10000249</v>
      </c>
      <c r="C249" s="2" t="s">
        <v>494</v>
      </c>
    </row>
    <row r="250" spans="1:3">
      <c r="A250" s="2" t="s">
        <v>495</v>
      </c>
      <c r="B250" s="1">
        <v>10000250</v>
      </c>
      <c r="C250" s="2" t="s">
        <v>496</v>
      </c>
    </row>
    <row r="251" spans="1:3">
      <c r="A251" s="2" t="s">
        <v>497</v>
      </c>
      <c r="B251" s="1">
        <v>10000251</v>
      </c>
      <c r="C251" s="2" t="s">
        <v>498</v>
      </c>
    </row>
    <row r="252" spans="1:3">
      <c r="A252" s="2" t="s">
        <v>499</v>
      </c>
      <c r="B252" s="1">
        <v>10000252</v>
      </c>
      <c r="C252" s="2" t="s">
        <v>500</v>
      </c>
    </row>
    <row r="253" spans="1:3">
      <c r="A253" s="2" t="s">
        <v>501</v>
      </c>
      <c r="B253" s="1">
        <v>10000253</v>
      </c>
      <c r="C253" s="2" t="s">
        <v>502</v>
      </c>
    </row>
    <row r="254" spans="1:3">
      <c r="A254" s="2" t="s">
        <v>503</v>
      </c>
      <c r="B254" s="1">
        <v>10000254</v>
      </c>
      <c r="C254" s="2" t="s">
        <v>432</v>
      </c>
    </row>
    <row r="255" spans="1:3">
      <c r="A255" s="2" t="s">
        <v>504</v>
      </c>
      <c r="B255" s="1">
        <v>10000255</v>
      </c>
      <c r="C255" s="2" t="s">
        <v>505</v>
      </c>
    </row>
    <row r="256" spans="1:3">
      <c r="A256" s="2" t="s">
        <v>506</v>
      </c>
      <c r="B256" s="1">
        <v>10000256</v>
      </c>
      <c r="C256" s="2" t="s">
        <v>507</v>
      </c>
    </row>
    <row r="257" spans="1:3">
      <c r="A257" s="2" t="s">
        <v>508</v>
      </c>
      <c r="B257" s="1">
        <v>10000257</v>
      </c>
      <c r="C257" s="2" t="s">
        <v>509</v>
      </c>
    </row>
    <row r="258" spans="1:3">
      <c r="A258" s="2" t="s">
        <v>510</v>
      </c>
      <c r="B258" s="1">
        <v>10000258</v>
      </c>
      <c r="C258" s="2" t="s">
        <v>511</v>
      </c>
    </row>
    <row r="259" spans="1:3">
      <c r="A259" s="2" t="s">
        <v>512</v>
      </c>
      <c r="B259" s="1">
        <v>10000259</v>
      </c>
      <c r="C259" s="2" t="s">
        <v>513</v>
      </c>
    </row>
    <row r="260" spans="1:3">
      <c r="A260" s="2" t="s">
        <v>514</v>
      </c>
      <c r="B260" s="1">
        <v>10000260</v>
      </c>
      <c r="C260" s="2" t="s">
        <v>515</v>
      </c>
    </row>
    <row r="261" spans="1:3">
      <c r="A261" s="2" t="s">
        <v>516</v>
      </c>
      <c r="B261" s="1">
        <v>10000261</v>
      </c>
      <c r="C261" s="2" t="s">
        <v>517</v>
      </c>
    </row>
    <row r="262" spans="1:3">
      <c r="A262" s="2" t="s">
        <v>518</v>
      </c>
      <c r="B262" s="1">
        <v>10000262</v>
      </c>
      <c r="C262" s="2" t="s">
        <v>519</v>
      </c>
    </row>
    <row r="263" spans="1:3">
      <c r="A263" s="2" t="s">
        <v>520</v>
      </c>
      <c r="B263" s="1">
        <v>10000263</v>
      </c>
      <c r="C263" s="2" t="s">
        <v>521</v>
      </c>
    </row>
    <row r="264" spans="1:3">
      <c r="A264" s="2" t="s">
        <v>522</v>
      </c>
      <c r="B264" s="1">
        <v>10000264</v>
      </c>
      <c r="C264" s="2" t="s">
        <v>523</v>
      </c>
    </row>
    <row r="265" spans="1:3">
      <c r="A265" s="2" t="s">
        <v>524</v>
      </c>
      <c r="B265" s="1">
        <v>10000265</v>
      </c>
      <c r="C265" s="2" t="s">
        <v>525</v>
      </c>
    </row>
    <row r="266" spans="1:3">
      <c r="A266" s="2" t="s">
        <v>526</v>
      </c>
      <c r="B266" s="1">
        <v>10000266</v>
      </c>
      <c r="C266" s="2" t="s">
        <v>527</v>
      </c>
    </row>
    <row r="267" spans="1:3">
      <c r="A267" s="2" t="s">
        <v>528</v>
      </c>
      <c r="B267" s="1">
        <v>10000267</v>
      </c>
      <c r="C267" s="2" t="s">
        <v>529</v>
      </c>
    </row>
    <row r="268" spans="1:3">
      <c r="A268" s="2" t="s">
        <v>530</v>
      </c>
      <c r="B268" s="1">
        <v>10000268</v>
      </c>
      <c r="C268" s="2" t="s">
        <v>531</v>
      </c>
    </row>
    <row r="269" spans="1:3">
      <c r="A269" s="2" t="s">
        <v>532</v>
      </c>
      <c r="B269" s="1">
        <v>10000269</v>
      </c>
      <c r="C269" s="2" t="s">
        <v>533</v>
      </c>
    </row>
    <row r="270" spans="1:3">
      <c r="A270" s="2" t="s">
        <v>534</v>
      </c>
      <c r="B270" s="1">
        <v>10000270</v>
      </c>
      <c r="C270" s="2" t="s">
        <v>535</v>
      </c>
    </row>
    <row r="271" spans="1:3">
      <c r="A271" s="2" t="s">
        <v>536</v>
      </c>
      <c r="B271" s="1">
        <v>10000271</v>
      </c>
      <c r="C271" s="2" t="s">
        <v>537</v>
      </c>
    </row>
    <row r="272" spans="1:3">
      <c r="A272" s="2" t="s">
        <v>538</v>
      </c>
      <c r="B272" s="1">
        <v>10000272</v>
      </c>
      <c r="C272" s="2" t="s">
        <v>539</v>
      </c>
    </row>
    <row r="273" spans="1:3">
      <c r="A273" s="2" t="s">
        <v>540</v>
      </c>
      <c r="B273" s="1">
        <v>10000273</v>
      </c>
      <c r="C273" s="2" t="s">
        <v>541</v>
      </c>
    </row>
    <row r="274" spans="1:3">
      <c r="A274" s="2" t="s">
        <v>542</v>
      </c>
      <c r="B274" s="1">
        <v>10000274</v>
      </c>
      <c r="C274" s="2" t="s">
        <v>543</v>
      </c>
    </row>
    <row r="275" spans="1:3">
      <c r="A275" s="2" t="s">
        <v>544</v>
      </c>
      <c r="B275" s="1">
        <v>10000275</v>
      </c>
      <c r="C275" s="2" t="s">
        <v>545</v>
      </c>
    </row>
    <row r="276" spans="1:3">
      <c r="A276" s="2" t="s">
        <v>546</v>
      </c>
      <c r="B276" s="1">
        <v>10000276</v>
      </c>
      <c r="C276" s="2" t="s">
        <v>547</v>
      </c>
    </row>
  </sheetData>
  <sheetProtection algorithmName="SHA-512" hashValue="v1fJx/FLP/CFnem8uEARrYFRxcp7sMltvwemccoNopsl0JjKZLMm0Xc5yLnegXj+gJQX1S81bxFHRKdeJN1eZw==" saltValue="S6aRd7X+UJYk7rw6C5wz0A==" spinCount="100000" sheet="1" objects="1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6"/>
  <sheetViews>
    <sheetView workbookViewId="0">
      <selection activeCell="H14" sqref="H14"/>
    </sheetView>
  </sheetViews>
  <sheetFormatPr defaultColWidth="8.88888888888889" defaultRowHeight="14.4" outlineLevelRow="5" outlineLevelCol="1"/>
  <cols>
    <col min="1" max="1" width="10.7777777777778" customWidth="1"/>
    <col min="2" max="2" width="10.6666666666667" customWidth="1"/>
  </cols>
  <sheetData>
    <row r="1" spans="1:2">
      <c r="A1" s="1" t="s">
        <v>548</v>
      </c>
      <c r="B1" s="1">
        <v>500201</v>
      </c>
    </row>
    <row r="2" spans="1:2">
      <c r="A2" s="1" t="s">
        <v>549</v>
      </c>
      <c r="B2" s="1">
        <v>500202</v>
      </c>
    </row>
    <row r="3" spans="1:2">
      <c r="A3" s="1" t="s">
        <v>550</v>
      </c>
      <c r="B3" s="1">
        <v>500203</v>
      </c>
    </row>
    <row r="4" spans="1:2">
      <c r="A4" s="1" t="s">
        <v>551</v>
      </c>
      <c r="B4" s="1">
        <v>500204</v>
      </c>
    </row>
    <row r="5" spans="1:2">
      <c r="A5" s="1" t="s">
        <v>552</v>
      </c>
      <c r="B5" s="1">
        <v>500205</v>
      </c>
    </row>
    <row r="6" spans="1:2">
      <c r="A6" s="1" t="s">
        <v>553</v>
      </c>
      <c r="B6" s="1">
        <v>500206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3"/>
  <sheetViews>
    <sheetView workbookViewId="0">
      <selection activeCell="I12" sqref="I12"/>
    </sheetView>
  </sheetViews>
  <sheetFormatPr defaultColWidth="8.88888888888889" defaultRowHeight="14.4" outlineLevelRow="2" outlineLevelCol="1"/>
  <cols>
    <col min="2" max="2" width="11" customWidth="1"/>
  </cols>
  <sheetData>
    <row r="1" spans="1:2">
      <c r="A1" s="1" t="s">
        <v>554</v>
      </c>
      <c r="B1" s="1">
        <v>500101</v>
      </c>
    </row>
    <row r="2" spans="1:2">
      <c r="A2" s="1" t="s">
        <v>555</v>
      </c>
      <c r="B2" s="1">
        <v>500102</v>
      </c>
    </row>
    <row r="3" spans="1:2">
      <c r="A3" s="1" t="s">
        <v>556</v>
      </c>
      <c r="B3" s="1">
        <v>500103</v>
      </c>
    </row>
  </sheetData>
  <sheetProtection algorithmName="SHA-512" hashValue="9d0us604r07wQOHnBeY26tMhMr3AUAf354s8OiJYNU7mHVxLKUHyXlzeb3F0csOq8Y0+VE7PJyFBQXGS22fOHg==" saltValue="OrxxNcsIG2TuRb1GpXmQoQ==" spinCount="100000" sheet="1" objects="1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3"/>
  <sheetViews>
    <sheetView workbookViewId="0">
      <selection activeCell="A1" sqref="A1"/>
    </sheetView>
  </sheetViews>
  <sheetFormatPr defaultColWidth="8.88888888888889" defaultRowHeight="14.4" outlineLevelRow="2" outlineLevelCol="1"/>
  <sheetData>
    <row r="1" spans="1:2">
      <c r="A1" s="1" t="s">
        <v>557</v>
      </c>
      <c r="B1" s="12" t="s">
        <v>558</v>
      </c>
    </row>
    <row r="2" spans="1:2">
      <c r="A2" s="1" t="s">
        <v>559</v>
      </c>
      <c r="B2" s="12" t="s">
        <v>560</v>
      </c>
    </row>
    <row r="3" spans="1:2">
      <c r="A3" s="1" t="s">
        <v>561</v>
      </c>
      <c r="B3" s="12" t="s">
        <v>562</v>
      </c>
    </row>
  </sheetData>
  <sheetProtection algorithmName="SHA-512" hashValue="0vJDxiJIhTNo638Eo/8ifallX7eOAVGSnU6qkJkoJEiy6En4NgXzT0WUwP4/75ddqv1M+fd1OMco95d+rsgEfQ==" saltValue="Mh1RNgC3VzJL6pCKjnL0OA==" spinCount="100000" sheet="1" object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</vt:lpstr>
      <vt:lpstr>venue</vt:lpstr>
      <vt:lpstr>type</vt:lpstr>
      <vt:lpstr>color</vt:lpstr>
      <vt:lpstr>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11200</dc:creator>
  <cp:lastModifiedBy>AngelosÆ姣</cp:lastModifiedBy>
  <dcterms:created xsi:type="dcterms:W3CDTF">2026-09-23T01:39:00Z</dcterms:created>
  <dcterms:modified xsi:type="dcterms:W3CDTF">2026-10-15T12:43:35Z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E4E502C1BE924870B653D0061BEB79C2_11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